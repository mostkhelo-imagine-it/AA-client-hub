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otal" sheetId="1" r:id="rId5"/>
    <sheet state="hidden" name="Data" sheetId="2" r:id="rId6"/>
    <sheet state="visible" name="Enn 1" sheetId="3" r:id="rId7"/>
    <sheet state="visible" name="Enn 2" sheetId="4" r:id="rId8"/>
    <sheet state="visible" name="Enn 5" sheetId="5" r:id="rId9"/>
    <sheet state="visible" name="Enn 6" sheetId="6" r:id="rId10"/>
    <sheet state="visible" name="NLP 1" sheetId="7" r:id="rId11"/>
    <sheet state="visible" name="NLP 3" sheetId="8" r:id="rId12"/>
    <sheet state="visible" name="NLP 2 " sheetId="9" r:id="rId13"/>
    <sheet state="visible" name="Mini CAW" sheetId="10" r:id="rId14"/>
    <sheet state="visible" name="NLP 4" sheetId="11" r:id="rId15"/>
    <sheet state="visible" name="NLP 5" sheetId="12" r:id="rId16"/>
    <sheet state="visible" name="FC D1" sheetId="13" r:id="rId17"/>
    <sheet state="visible" name="FC P8" sheetId="14" r:id="rId18"/>
    <sheet state="visible" name="9 Fears" sheetId="15" r:id="rId19"/>
    <sheet state="visible" name="EFT" sheetId="16" r:id="rId20"/>
    <sheet state="visible" name="Shadow in Relationship" sheetId="17" r:id="rId21"/>
    <sheet state="visible" name="Love yr femininty" sheetId="18" r:id="rId22"/>
    <sheet state="visible" name="Reiki Master" sheetId="19" r:id="rId23"/>
    <sheet state="visible" name="Reiki D" sheetId="20" r:id="rId24"/>
    <sheet state="visible" name="RK Retreat" sheetId="21" r:id="rId25"/>
    <sheet state="visible" name="Healing the shadow" sheetId="22" r:id="rId26"/>
    <sheet state="visible" name="Healing the relationship" sheetId="23" r:id="rId27"/>
    <sheet state="visible" name="Love yr Body" sheetId="24" r:id="rId28"/>
    <sheet state="visible" name="Healing the inner child" sheetId="25" r:id="rId29"/>
    <sheet state="visible" name="Trauma Healling" sheetId="26" r:id="rId30"/>
    <sheet state="visible" name="Reiki Open Healing Session" sheetId="27" r:id="rId3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
</t>
      </text>
    </comment>
    <comment authorId="0" ref="I4">
      <text>
        <t xml:space="preserve">done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visa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tc={8b89f478-718e-4e39-b772-ff9cb3542dec}</author>
  </authors>
  <commentList>
    <comment authorId="0" xr:uid="{8b89f478-718e-4e39-b772-ff9cb3542dec}" ref="W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day
</t>
      </text>
    </comment>
  </commentList>
</comments>
</file>

<file path=xl/sharedStrings.xml><?xml version="1.0" encoding="utf-8"?>
<sst xmlns="http://schemas.openxmlformats.org/spreadsheetml/2006/main" count="1415" uniqueCount="376">
  <si>
    <t>Seller Name</t>
  </si>
  <si>
    <t>Course Name
( New Students )</t>
  </si>
  <si>
    <t>Enneagram 1 (NC) 19-20 &amp; 26-27 June</t>
  </si>
  <si>
    <t xml:space="preserve">Enneagram 2 (AZ) 22 to 25 June CANCELLED </t>
  </si>
  <si>
    <t>Caw</t>
  </si>
  <si>
    <t>Price</t>
  </si>
  <si>
    <t>Menna</t>
  </si>
  <si>
    <t>Participant</t>
  </si>
  <si>
    <t>Akreman</t>
  </si>
  <si>
    <t>Issue Holder</t>
  </si>
  <si>
    <t>Rasha</t>
  </si>
  <si>
    <t xml:space="preserve">Quantity </t>
  </si>
  <si>
    <t>Employee P</t>
  </si>
  <si>
    <t xml:space="preserve">Nourhan </t>
  </si>
  <si>
    <t>Employee IH</t>
  </si>
  <si>
    <t>Mariam</t>
  </si>
  <si>
    <t>Adham</t>
  </si>
  <si>
    <t>Confirmation</t>
  </si>
  <si>
    <t>Attendance</t>
  </si>
  <si>
    <t>Enneagram 1 (AZ) 15-18 June</t>
  </si>
  <si>
    <t>Nourhan</t>
  </si>
  <si>
    <t>S.</t>
  </si>
  <si>
    <t>Client Name</t>
  </si>
  <si>
    <t>Khalid</t>
  </si>
  <si>
    <t>Phone Number</t>
  </si>
  <si>
    <t>West</t>
  </si>
  <si>
    <t>Payment</t>
  </si>
  <si>
    <t>East</t>
  </si>
  <si>
    <t>Total</t>
  </si>
  <si>
    <t>Day 1</t>
  </si>
  <si>
    <t>Day 2</t>
  </si>
  <si>
    <t>Day 3</t>
  </si>
  <si>
    <t>Day 4</t>
  </si>
  <si>
    <t>NLP</t>
  </si>
  <si>
    <t>Course Fees</t>
  </si>
  <si>
    <t>Paid Amount</t>
  </si>
  <si>
    <t>Remaining Amount</t>
  </si>
  <si>
    <t>Notes</t>
  </si>
  <si>
    <t>omnia taha</t>
  </si>
  <si>
    <t>Aya Ali</t>
  </si>
  <si>
    <t>Enneagram 5 (NC) 1 to 4 June</t>
  </si>
  <si>
    <t xml:space="preserve">confirmed </t>
  </si>
  <si>
    <t xml:space="preserve">postponed </t>
  </si>
  <si>
    <t>manal youssef</t>
  </si>
  <si>
    <t>mai el gammal</t>
  </si>
  <si>
    <t>confirmed</t>
  </si>
  <si>
    <t>Ahmed el sherif</t>
  </si>
  <si>
    <t>last 2 days,postponed from may</t>
  </si>
  <si>
    <t>Ahmed kelinty</t>
  </si>
  <si>
    <t>Hana Tarek</t>
  </si>
  <si>
    <t>done</t>
  </si>
  <si>
    <t>not ok night</t>
  </si>
  <si>
    <t>Mihav Ibrahiem</t>
  </si>
  <si>
    <t>Rania Aziz</t>
  </si>
  <si>
    <t>0114 397 1526</t>
  </si>
  <si>
    <t xml:space="preserve">confirmed / value </t>
  </si>
  <si>
    <t>heba osman</t>
  </si>
  <si>
    <t xml:space="preserve">done </t>
  </si>
  <si>
    <t>sohila shaltot</t>
  </si>
  <si>
    <t>OK night</t>
  </si>
  <si>
    <t xml:space="preserve">confirmed/online </t>
  </si>
  <si>
    <t xml:space="preserve">Online </t>
  </si>
  <si>
    <t>Aicha</t>
  </si>
  <si>
    <t>Nada Dardery</t>
  </si>
  <si>
    <t>0102 671 6798</t>
  </si>
  <si>
    <t>Enneagram</t>
  </si>
  <si>
    <t>Noha Sharkawy</t>
  </si>
  <si>
    <t>amr salem</t>
  </si>
  <si>
    <t>Noha Roshdy</t>
  </si>
  <si>
    <t>Peter Nayem</t>
  </si>
  <si>
    <t>0106 505 0496</t>
  </si>
  <si>
    <t>don</t>
  </si>
  <si>
    <t>hala ibrahim</t>
  </si>
  <si>
    <t>mai khalefa</t>
  </si>
  <si>
    <t>menna bahaa</t>
  </si>
  <si>
    <t>dina gamgoum</t>
  </si>
  <si>
    <t>Hoda Khaled</t>
  </si>
  <si>
    <t>khalid l menyawi</t>
  </si>
  <si>
    <t xml:space="preserve">manal Youssef </t>
  </si>
  <si>
    <t xml:space="preserve">Maysoon </t>
  </si>
  <si>
    <t>ahmed zoghby</t>
  </si>
  <si>
    <t>sherin yehia</t>
  </si>
  <si>
    <t>Staff</t>
  </si>
  <si>
    <t>will confirm night</t>
  </si>
  <si>
    <t>Ghada Abdel Khaliek</t>
  </si>
  <si>
    <t>ghada sabry</t>
  </si>
  <si>
    <t>0122 216 1600</t>
  </si>
  <si>
    <t xml:space="preserve">Manal Ismail </t>
  </si>
  <si>
    <t>Doaa Hamed</t>
  </si>
  <si>
    <t>0109 771 8946</t>
  </si>
  <si>
    <t>deemah</t>
  </si>
  <si>
    <t xml:space="preserve">online </t>
  </si>
  <si>
    <t>sara darwish</t>
  </si>
  <si>
    <t>Rehab shoman</t>
  </si>
  <si>
    <t xml:space="preserve">hend Eissa </t>
  </si>
  <si>
    <t>Reiki</t>
  </si>
  <si>
    <t>Total Conversion From Paid</t>
  </si>
  <si>
    <t>Course Name</t>
  </si>
  <si>
    <t xml:space="preserve">Family Constellation </t>
  </si>
  <si>
    <t>CAW</t>
  </si>
  <si>
    <t>Enn 6 / 29 June - 2 July</t>
  </si>
  <si>
    <t>NLP 1 (AZ) 15-16-17-18 June / Hend Eissa</t>
  </si>
  <si>
    <t>Deemah</t>
  </si>
  <si>
    <t xml:space="preserve">confirmed/physical </t>
  </si>
  <si>
    <t>Rana Hussien</t>
  </si>
  <si>
    <t>Mayada Mounir</t>
  </si>
  <si>
    <t>online</t>
  </si>
  <si>
    <t>Done</t>
  </si>
  <si>
    <t xml:space="preserve">Done </t>
  </si>
  <si>
    <t>Rania Medht</t>
  </si>
  <si>
    <t>Enas Khaliel</t>
  </si>
  <si>
    <t>Abir Ebrhaiem</t>
  </si>
  <si>
    <t>OUT</t>
  </si>
  <si>
    <t>Maya El Aarabi</t>
  </si>
  <si>
    <t>Dalia khalil</t>
  </si>
  <si>
    <t xml:space="preserve">nouran l gzar </t>
  </si>
  <si>
    <t>dobe</t>
  </si>
  <si>
    <t>Safy Moussa</t>
  </si>
  <si>
    <t xml:space="preserve">live streaming/out of Egypt </t>
  </si>
  <si>
    <t>Absent</t>
  </si>
  <si>
    <t>Marwa shokr</t>
  </si>
  <si>
    <t>Omar Mohamed</t>
  </si>
  <si>
    <t>Menna Helmy</t>
  </si>
  <si>
    <t>Abir Ebrahem</t>
  </si>
  <si>
    <t>0 122 566 2058</t>
  </si>
  <si>
    <t xml:space="preserve">online payment </t>
  </si>
  <si>
    <t>amira Samier</t>
  </si>
  <si>
    <t xml:space="preserve"> </t>
  </si>
  <si>
    <t>Sum</t>
  </si>
  <si>
    <t>Ola</t>
  </si>
  <si>
    <t>Sara Essam</t>
  </si>
  <si>
    <t>old credit 2400</t>
  </si>
  <si>
    <t>Yasser</t>
  </si>
  <si>
    <t>Ali Shaltout</t>
  </si>
  <si>
    <t>Fatma Wael</t>
  </si>
  <si>
    <t>Rasha S.Metwally</t>
  </si>
  <si>
    <t>30% off / staff</t>
  </si>
  <si>
    <t>Karen</t>
  </si>
  <si>
    <t>Lama Elkordy</t>
  </si>
  <si>
    <t>Doaa Kamel</t>
  </si>
  <si>
    <t>NLP 3 (AZ) 29-30 June &amp; 1-2 July</t>
  </si>
  <si>
    <t>30%disc</t>
  </si>
  <si>
    <t>Confirmed</t>
  </si>
  <si>
    <t>Yes</t>
  </si>
  <si>
    <t>Ahmed Atef</t>
  </si>
  <si>
    <t>Rehab</t>
  </si>
  <si>
    <t>Nancy Naguib</t>
  </si>
  <si>
    <t>Nouran Gazzar</t>
  </si>
  <si>
    <t>Mayada</t>
  </si>
  <si>
    <t>Online</t>
  </si>
  <si>
    <t>Sara</t>
  </si>
  <si>
    <t>NLP 2 (AZ)5 - 6 - 12 - 13 June</t>
  </si>
  <si>
    <t>iman elshekh</t>
  </si>
  <si>
    <t xml:space="preserve">2000 gift coupon </t>
  </si>
  <si>
    <t>Gawda mametvsara</t>
  </si>
  <si>
    <t>will pay 5 July ISA</t>
  </si>
  <si>
    <t>Adham Mohamed</t>
  </si>
  <si>
    <t>30% staff disc</t>
  </si>
  <si>
    <t>Rasha Metwally</t>
  </si>
  <si>
    <t>Dalia essam</t>
  </si>
  <si>
    <t>ليها 1050 كريدت،وهتكمل باقي الكورس اول يوم الصبح</t>
  </si>
  <si>
    <t>Reham Zaher</t>
  </si>
  <si>
    <t xml:space="preserve">value </t>
  </si>
  <si>
    <t>Mini CAW / 1 June / AZ / 10 - 3 P.M</t>
  </si>
  <si>
    <t>CANCELLED mini caw 4 June NC</t>
  </si>
  <si>
    <t>Type</t>
  </si>
  <si>
    <t>Rehab Taha</t>
  </si>
  <si>
    <t>Maha Sidky</t>
  </si>
  <si>
    <t>NLP 4 (NC) 20-21 &amp; 27-28 July Sara Tarek</t>
  </si>
  <si>
    <t>for free</t>
  </si>
  <si>
    <t>Noha Abd El Wahab</t>
  </si>
  <si>
    <t>Heba Kamal</t>
  </si>
  <si>
    <t>Yara El Ghafaary</t>
  </si>
  <si>
    <t>Yomna</t>
  </si>
  <si>
    <t>Walaa Essam</t>
  </si>
  <si>
    <t>Nahla Allam</t>
  </si>
  <si>
    <t>Heba El Shayeb</t>
  </si>
  <si>
    <t xml:space="preserve">Gawdat </t>
  </si>
  <si>
    <t>Mai Abd El Bar</t>
  </si>
  <si>
    <t>Gasser</t>
  </si>
  <si>
    <t>Heba Mohasseb</t>
  </si>
  <si>
    <t>Mini CAW / 23 June / AZ / 5 - 10 P.M</t>
  </si>
  <si>
    <t>Mini CAW / 21 June / NC / 5 - 10 P.M</t>
  </si>
  <si>
    <t>NLP 5 (NC) 22 Wed - 25 Sat June</t>
  </si>
  <si>
    <t>Nermine Salah</t>
  </si>
  <si>
    <t>Radwa ahmed niazy</t>
  </si>
  <si>
    <t>15 % disc / cooperative deal</t>
  </si>
  <si>
    <t>Heba el Shayeb</t>
  </si>
  <si>
    <t>Diploma 1 (NC) 12 - 14 June</t>
  </si>
  <si>
    <t>Sherine Yehia</t>
  </si>
  <si>
    <t>Youmna Saber</t>
  </si>
  <si>
    <t xml:space="preserve">old credit </t>
  </si>
  <si>
    <t>Ahmed Mamdouh</t>
  </si>
  <si>
    <t xml:space="preserve">Absent </t>
  </si>
  <si>
    <t>day1</t>
  </si>
  <si>
    <t>day 2</t>
  </si>
  <si>
    <t>day 3</t>
  </si>
  <si>
    <t>howida magdy</t>
  </si>
  <si>
    <t>early bird</t>
  </si>
  <si>
    <t>ahmed keshk</t>
  </si>
  <si>
    <t>Adel Shalaby</t>
  </si>
  <si>
    <t>Gihan El Sharkawy</t>
  </si>
  <si>
    <t>Engy Mohy El Dien</t>
  </si>
  <si>
    <t xml:space="preserve">absent </t>
  </si>
  <si>
    <t>Engy Khalied.</t>
  </si>
  <si>
    <t>Aya Ehab</t>
  </si>
  <si>
    <t>Noha Nezzar</t>
  </si>
  <si>
    <t xml:space="preserve">as a resource will pay tomorrow </t>
  </si>
  <si>
    <t>Practitioner 8 (AZ) 8 - 11 June</t>
  </si>
  <si>
    <t>Sherin Rizk</t>
  </si>
  <si>
    <t>Rehab Shoman</t>
  </si>
  <si>
    <t>by installment 3 months</t>
  </si>
  <si>
    <t>Reham Ali</t>
  </si>
  <si>
    <t>free</t>
  </si>
  <si>
    <t>Nashwa El Gharieb</t>
  </si>
  <si>
    <t>Emy Shaker</t>
  </si>
  <si>
    <t>Noha dadderr</t>
  </si>
  <si>
    <t>Engi Ali</t>
  </si>
  <si>
    <t>Sahar Mohamed</t>
  </si>
  <si>
    <t>Sarah Essam</t>
  </si>
  <si>
    <t>Heba Farid</t>
  </si>
  <si>
    <t>Reham Abd El Raziek</t>
  </si>
  <si>
    <t>Hasna2 Yehia</t>
  </si>
  <si>
    <t>Amr El Kady</t>
  </si>
  <si>
    <t>Nesreen El Okda</t>
  </si>
  <si>
    <t>Doaa Kamal</t>
  </si>
  <si>
    <t>Pakinam El Samiry</t>
  </si>
  <si>
    <t>Seif Al Alfy</t>
  </si>
  <si>
    <t>Amira Zahran</t>
  </si>
  <si>
    <t>Gehan Azmy</t>
  </si>
  <si>
    <t xml:space="preserve">resource </t>
  </si>
  <si>
    <t>Mai El Sholkamy</t>
  </si>
  <si>
    <t>Mona Ganoub</t>
  </si>
  <si>
    <t>Nabela Khalil</t>
  </si>
  <si>
    <t>Nagwan Samy</t>
  </si>
  <si>
    <t>Nancy Ashra</t>
  </si>
  <si>
    <t xml:space="preserve">Omnia Maher </t>
  </si>
  <si>
    <t>Sherin Omar</t>
  </si>
  <si>
    <t>Noha abd El wahab</t>
  </si>
  <si>
    <t>Samar Badr</t>
  </si>
  <si>
    <t>Samar Saied</t>
  </si>
  <si>
    <t>Samy Albalhan</t>
  </si>
  <si>
    <t>Shaima Abd El Aziem</t>
  </si>
  <si>
    <t>Sherine Saad</t>
  </si>
  <si>
    <t xml:space="preserve">9 fears ... one love (AZ) 28 June cancelled </t>
  </si>
  <si>
    <t>ola mohamed</t>
  </si>
  <si>
    <t>Heba el shayeb</t>
  </si>
  <si>
    <t>EFT 12 - 13 June</t>
  </si>
  <si>
    <t>EFT 17 - 18 June</t>
  </si>
  <si>
    <t>sara essam</t>
  </si>
  <si>
    <t>israa</t>
  </si>
  <si>
    <t>Shadows in Relationship (AZ) 2 - 4 June ( cancelled)</t>
  </si>
  <si>
    <t>normal price: 1800</t>
  </si>
  <si>
    <t>early bird:1200</t>
  </si>
  <si>
    <t>couples:1800</t>
  </si>
  <si>
    <t>Nadien Abou Bakr</t>
  </si>
  <si>
    <t>0 122 218 0089</t>
  </si>
  <si>
    <t>Love yr femininty - Online / 25 June / 8 - 10 p.m</t>
  </si>
  <si>
    <t>Love yr femininty - Online / 29 June / 8 - 10 p.m</t>
  </si>
  <si>
    <t>Reiki Master (AZ) 16-18 June</t>
  </si>
  <si>
    <t>Mai Dahab</t>
  </si>
  <si>
    <t xml:space="preserve">assistant </t>
  </si>
  <si>
    <t>sarah Wahba</t>
  </si>
  <si>
    <t>done payment</t>
  </si>
  <si>
    <t>Sarah Shaltout</t>
  </si>
  <si>
    <t>Reiki 1 (AZ) 30 June &amp; 1-2 July</t>
  </si>
  <si>
    <t>Abeer Abdelqader</t>
  </si>
  <si>
    <t>Reiki 1 (NC) 20-21-22 June</t>
  </si>
  <si>
    <t>maye abdelbar</t>
  </si>
  <si>
    <t>omnia Maher</t>
  </si>
  <si>
    <t>will pay in july</t>
  </si>
  <si>
    <t>Yara El ghaffary</t>
  </si>
  <si>
    <t>Marwa Gamal</t>
  </si>
  <si>
    <t>Amir Zarif</t>
  </si>
  <si>
    <t>sherine omar (paid)</t>
  </si>
  <si>
    <t>Ghada Taha</t>
  </si>
  <si>
    <t>Hoda Sami</t>
  </si>
  <si>
    <t>Sara Tarek (Teacher )</t>
  </si>
  <si>
    <t>teacher offer // to be deducted from her wallet</t>
  </si>
  <si>
    <t>day 1</t>
  </si>
  <si>
    <t>day2</t>
  </si>
  <si>
    <t>day3</t>
  </si>
  <si>
    <t>Manar Mady</t>
  </si>
  <si>
    <t>Sama Hamada</t>
  </si>
  <si>
    <t>shimaa ibrahim</t>
  </si>
  <si>
    <t>01002071960</t>
  </si>
  <si>
    <t>Lamia Khalil</t>
  </si>
  <si>
    <t>Yassmine Mokhtar</t>
  </si>
  <si>
    <t>doha medhat</t>
  </si>
  <si>
    <t>3 days are not enough/ great</t>
  </si>
  <si>
    <t>maram ahmed</t>
  </si>
  <si>
    <t>50% repetition</t>
  </si>
  <si>
    <t>Rasha Mohamed</t>
  </si>
  <si>
    <t>dina nabhan</t>
  </si>
  <si>
    <t>Enas</t>
  </si>
  <si>
    <t xml:space="preserve">wants to be more than 3 days </t>
  </si>
  <si>
    <t xml:space="preserve"> heba l refaay</t>
  </si>
  <si>
    <t>0 100 080 4134</t>
  </si>
  <si>
    <t>will attend next round</t>
  </si>
  <si>
    <t>Reham Heikal</t>
  </si>
  <si>
    <t xml:space="preserve">all perfect </t>
  </si>
  <si>
    <t>total</t>
  </si>
  <si>
    <t>Reiki Retreat 24 - 25  June</t>
  </si>
  <si>
    <t>normal price:2650</t>
  </si>
  <si>
    <t>early bird :2400</t>
  </si>
  <si>
    <t>RK community normal price 2300</t>
  </si>
  <si>
    <t>RK community early bird 2200</t>
  </si>
  <si>
    <t>Reham Reda</t>
  </si>
  <si>
    <t>early bird // no ans</t>
  </si>
  <si>
    <t>Sahar Elbakly</t>
  </si>
  <si>
    <t>not a community member// 200 left // transaction to enneagram module done</t>
  </si>
  <si>
    <t>Amani Salah</t>
  </si>
  <si>
    <t xml:space="preserve">early bird // will transact it </t>
  </si>
  <si>
    <t>mahmoud soliman</t>
  </si>
  <si>
    <t>refund done</t>
  </si>
  <si>
    <t>Riham Sadek</t>
  </si>
  <si>
    <t>(SINGLE ROOM+850) + (500 session with rania and osama) =3750</t>
  </si>
  <si>
    <t>maram elzayat</t>
  </si>
  <si>
    <t>paid will confirm tomorrow</t>
  </si>
  <si>
    <t>hanan yousef</t>
  </si>
  <si>
    <t>no ans</t>
  </si>
  <si>
    <t>reem osman</t>
  </si>
  <si>
    <t>community // will go by car // no ans</t>
  </si>
  <si>
    <t>sherry elgalally</t>
  </si>
  <si>
    <t>will go by car // refund</t>
  </si>
  <si>
    <t>Healing the shadow - RK workshop / 6 June / AZ 5:03 - 9 p.m</t>
  </si>
  <si>
    <t>Healing the shadow - RK workshop / 10 June / NC 9 a.m - 12 p.m</t>
  </si>
  <si>
    <t>sherine omar</t>
  </si>
  <si>
    <t>hoda sami</t>
  </si>
  <si>
    <t>2300 ( 4pck offer) Done</t>
  </si>
  <si>
    <t>Mohamed Ali Khalaf</t>
  </si>
  <si>
    <t>marwa ahmed mohamed</t>
  </si>
  <si>
    <t>marwa gamal</t>
  </si>
  <si>
    <t>2950 (4 pack +1 session 650)</t>
  </si>
  <si>
    <t>omnia maher</t>
  </si>
  <si>
    <t>community</t>
  </si>
  <si>
    <t>fatma wael</t>
  </si>
  <si>
    <t>reiki commuinty // paid 2000 community package</t>
  </si>
  <si>
    <t>Dina Barakat</t>
  </si>
  <si>
    <t>nitokriss</t>
  </si>
  <si>
    <t>Healing the relationship - RK workshop / 7 June / AZ 5:03 - 9 p.m</t>
  </si>
  <si>
    <t>Healing the relationship - RK workshop / 10 June / NC 1 pm : 4 pm</t>
  </si>
  <si>
    <t>gihan el sharkawy</t>
  </si>
  <si>
    <t>other school payment</t>
  </si>
  <si>
    <t>yara el ghaffary</t>
  </si>
  <si>
    <t>( 4 pack = 2300)</t>
  </si>
  <si>
    <t>paid 2000 community package</t>
  </si>
  <si>
    <t>Rania shafik</t>
  </si>
  <si>
    <t>Love yr Body / 15 june / AZ / 7 - 10 p.m</t>
  </si>
  <si>
    <t>Love yr Body ( TEENAGERS) / 18 june / AZ / 7:30- 9:30 p.m</t>
  </si>
  <si>
    <t>Nermine Aly</t>
  </si>
  <si>
    <t>confirm on the 15</t>
  </si>
  <si>
    <t>Yara El Ghafarry</t>
  </si>
  <si>
    <t>Marwa Mokhtar</t>
  </si>
  <si>
    <t>cancel</t>
  </si>
  <si>
    <t>Randa Hussien</t>
  </si>
  <si>
    <t>Dina Hussien</t>
  </si>
  <si>
    <t>Abir Ibrahiem</t>
  </si>
  <si>
    <t>Healing the inner child - RK workshop / 8 June / AZ 5:30 - 9 p.m</t>
  </si>
  <si>
    <t>Healing the inner child - RK workshop /11june / NC 9 a.m - 12 p.m</t>
  </si>
  <si>
    <t>Omnia Maher</t>
  </si>
  <si>
    <t>Community</t>
  </si>
  <si>
    <t>4 pck 2300</t>
  </si>
  <si>
    <t>yara elghaffary</t>
  </si>
  <si>
    <t>Rania Shafiq</t>
  </si>
  <si>
    <t>Reem Osman</t>
  </si>
  <si>
    <t>Marwa Gamal (Paid)</t>
  </si>
  <si>
    <t>2950 (4 pck  + 1 session)</t>
  </si>
  <si>
    <t>Fatma</t>
  </si>
  <si>
    <t>Trauma Healling - RK workshop / 9 June / AZ 5:30 - 9 p.m</t>
  </si>
  <si>
    <t>Trauma Healling - RK workshop / 11 June / NC/ 1 p.m - 4 p.m</t>
  </si>
  <si>
    <t>paid 2300 (4 pck)</t>
  </si>
  <si>
    <t>Rania shafiq</t>
  </si>
  <si>
    <t xml:space="preserve">Healing Circle AZ(27 June 6:00PM - 7:30PM) </t>
  </si>
  <si>
    <t>Free Reiki Master Class (Zoom) (23 June 7:00PM - 8:00PM)</t>
  </si>
  <si>
    <t>Event Fees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</si>
</sst>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#,##0.00;(#,##0.00)"/>
    <numFmt numFmtId="166" formatCode="&quot;$&quot;#,##0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/>
    <font>
      <sz val="18.0"/>
      <color theme="1"/>
      <name val="Arial"/>
      <scheme val="minor"/>
    </font>
    <font>
      <b/>
      <sz val="18.0"/>
      <color theme="1"/>
      <name val="Arial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color rgb="FFFF0000"/>
      <name val="Arial"/>
    </font>
    <font>
      <sz val="11.0"/>
      <color rgb="FF000000"/>
      <name val="Inconsolata"/>
    </font>
    <font>
      <sz val="8.0"/>
      <color theme="1"/>
      <name val="Arial"/>
    </font>
    <font>
      <sz val="11.0"/>
      <color theme="1"/>
      <name val="Calibri"/>
    </font>
    <font>
      <b/>
      <sz val="12.0"/>
      <color theme="1"/>
      <name val="Arial"/>
      <scheme val="minor"/>
    </font>
    <font>
      <color rgb="FF000000"/>
      <name val="Arial"/>
    </font>
    <font>
      <sz val="10.0"/>
      <color rgb="FF1C1E21"/>
      <name val="Helvetica"/>
    </font>
    <font>
      <b/>
      <sz val="18.0"/>
      <color rgb="FFFF0000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b/>
      <sz val="14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3" fillId="2" fontId="5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3" fillId="4" fontId="2" numFmtId="0" xfId="0" applyAlignment="1" applyBorder="1" applyFill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/>
    </xf>
    <xf borderId="7" fillId="0" fontId="4" numFmtId="0" xfId="0" applyBorder="1" applyFont="1"/>
    <xf borderId="8" fillId="0" fontId="4" numFmtId="0" xfId="0" applyBorder="1" applyFont="1"/>
    <xf borderId="3" fillId="0" fontId="6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vertical="center"/>
    </xf>
    <xf borderId="9" fillId="0" fontId="4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shrinkToFit="0" wrapText="1"/>
    </xf>
    <xf borderId="1" fillId="4" fontId="7" numFmtId="0" xfId="0" applyAlignment="1" applyBorder="1" applyFill="1" applyFont="1">
      <alignment horizontal="center" shrinkToFit="0" wrapText="1"/>
    </xf>
    <xf borderId="2" fillId="0" fontId="2" numFmtId="0" xfId="0" applyAlignment="1" applyBorder="1" applyFont="1">
      <alignment readingOrder="0"/>
    </xf>
    <xf borderId="1" fillId="4" fontId="8" numFmtId="0" xfId="0" applyAlignment="1" applyBorder="1" applyFill="1" applyFont="1">
      <alignment horizontal="center" readingOrder="0"/>
    </xf>
    <xf borderId="10" fillId="0" fontId="7" numFmtId="0" xfId="0" applyAlignment="1" applyBorder="1" applyFont="1">
      <alignment horizont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/>
    </xf>
    <xf borderId="11" fillId="0" fontId="4" numFmtId="0" xfId="0" applyBorder="1" applyFont="1"/>
    <xf borderId="1" fillId="3" fontId="1" numFmtId="0" xfId="0" applyBorder="1" applyFill="1" applyFont="1"/>
    <xf borderId="12" fillId="0" fontId="4" numFmtId="0" xfId="0" applyBorder="1" applyFont="1"/>
    <xf borderId="1" fillId="0" fontId="1" numFmtId="0" xfId="0" applyAlignment="1" applyBorder="1" applyFont="1">
      <alignment horizontal="center" readingOrder="0"/>
    </xf>
    <xf borderId="0" fillId="5" fontId="9" numFmtId="0" xfId="0" applyAlignment="1" applyFill="1" applyFont="1">
      <alignment readingOrder="0" vertical="bottom"/>
    </xf>
    <xf borderId="1" fillId="0" fontId="1" numFmtId="0" xfId="0" applyAlignment="1" applyBorder="1" applyFont="1">
      <alignment horizontal="center" vertical="center"/>
    </xf>
    <xf borderId="1" fillId="5" fontId="9" numFmtId="0" xfId="0" applyAlignment="1" applyBorder="1" applyFill="1" applyFont="1">
      <alignment vertical="bottom"/>
    </xf>
    <xf borderId="12" fillId="0" fontId="7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0" fontId="1" numFmtId="0" xfId="0" applyBorder="1" applyFont="1"/>
    <xf borderId="0" fillId="2" fontId="10" numFmtId="0" xfId="0" applyAlignment="1" applyFill="1" applyFont="1">
      <alignment readingOrder="0" vertical="center"/>
    </xf>
    <xf borderId="1" fillId="2" fontId="9" numFmtId="0" xfId="0" applyAlignment="1" applyBorder="1" applyFill="1" applyFont="1">
      <alignment horizontal="right" readingOrder="0" vertical="bottom"/>
    </xf>
    <xf borderId="1" fillId="0" fontId="1" numFmtId="0" xfId="0" applyAlignment="1" applyBorder="1" applyFont="1">
      <alignment horizontal="center"/>
    </xf>
    <xf borderId="1" fillId="2" fontId="9" numFmtId="0" xfId="0" applyAlignment="1" applyBorder="1" applyFill="1" applyFont="1">
      <alignment readingOrder="0" vertical="bottom"/>
    </xf>
    <xf borderId="1" fillId="0" fontId="1" numFmtId="164" xfId="0" applyAlignment="1" applyBorder="1" applyFont="1" applyNumberFormat="1">
      <alignment readingOrder="0"/>
    </xf>
    <xf borderId="1" fillId="2" fontId="1" numFmtId="164" xfId="0" applyAlignment="1" applyBorder="1" applyFill="1" applyFont="1" applyNumberFormat="1">
      <alignment readingOrder="0"/>
    </xf>
    <xf borderId="1" fillId="5" fontId="1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readingOrder="0"/>
    </xf>
    <xf borderId="1" fillId="0" fontId="1" numFmtId="164" xfId="0" applyBorder="1" applyFont="1" applyNumberFormat="1"/>
    <xf borderId="1" fillId="2" fontId="1" numFmtId="164" xfId="0" applyBorder="1" applyFill="1" applyFont="1" applyNumberFormat="1"/>
    <xf borderId="1" fillId="3" fontId="1" numFmtId="0" xfId="0" applyAlignment="1" applyBorder="1" applyFill="1" applyFont="1">
      <alignment readingOrder="0"/>
    </xf>
    <xf borderId="0" fillId="2" fontId="1" numFmtId="0" xfId="0" applyFill="1" applyFont="1"/>
    <xf borderId="12" fillId="2" fontId="9" numFmtId="0" xfId="0" applyAlignment="1" applyBorder="1" applyFill="1" applyFont="1">
      <alignment readingOrder="0" vertical="bottom"/>
    </xf>
    <xf borderId="3" fillId="3" fontId="1" numFmtId="0" xfId="0" applyBorder="1" applyFill="1" applyFont="1"/>
    <xf borderId="12" fillId="2" fontId="12" numFmtId="0" xfId="0" applyAlignment="1" applyBorder="1" applyFill="1" applyFont="1">
      <alignment readingOrder="0" vertical="bottom"/>
    </xf>
    <xf borderId="1" fillId="2" fontId="1" numFmtId="0" xfId="0" applyBorder="1" applyFill="1" applyFont="1"/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/>
    </xf>
    <xf borderId="12" fillId="0" fontId="9" numFmtId="0" xfId="0" applyAlignment="1" applyBorder="1" applyFont="1">
      <alignment readingOrder="0" vertical="bottom"/>
    </xf>
    <xf borderId="3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2" fillId="0" fontId="9" numFmtId="0" xfId="0" applyAlignment="1" applyBorder="1" applyFont="1">
      <alignment vertical="bottom"/>
    </xf>
    <xf borderId="1" fillId="5" fontId="13" numFmtId="0" xfId="0" applyAlignment="1" applyBorder="1" applyFill="1" applyFont="1">
      <alignment horizontal="center" readingOrder="0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center"/>
    </xf>
    <xf borderId="1" fillId="6" fontId="2" numFmtId="0" xfId="0" applyAlignment="1" applyBorder="1" applyFill="1" applyFont="1">
      <alignment horizontal="left" readingOrder="0" shrinkToFit="0" vertical="center" wrapText="1"/>
    </xf>
    <xf borderId="1" fillId="6" fontId="2" numFmtId="0" xfId="0" applyAlignment="1" applyBorder="1" applyFill="1" applyFont="1">
      <alignment horizontal="center" vertical="center"/>
    </xf>
    <xf borderId="3" fillId="3" fontId="14" numFmtId="0" xfId="0" applyAlignment="1" applyBorder="1" applyFill="1" applyFont="1">
      <alignment horizontal="center"/>
    </xf>
    <xf borderId="1" fillId="3" fontId="14" numFmtId="0" xfId="0" applyAlignment="1" applyBorder="1" applyFill="1" applyFont="1">
      <alignment horizontal="center"/>
    </xf>
    <xf borderId="1" fillId="7" fontId="2" numFmtId="9" xfId="0" applyAlignment="1" applyBorder="1" applyFill="1" applyFont="1" applyNumberFormat="1">
      <alignment horizontal="center" shrinkToFit="0" vertical="center" wrapText="1"/>
    </xf>
    <xf borderId="1" fillId="7" fontId="2" numFmtId="9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Font="1"/>
    <xf borderId="0" fillId="0" fontId="1" numFmtId="0" xfId="0" applyFont="1"/>
    <xf borderId="3" fillId="6" fontId="2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readingOrder="0"/>
    </xf>
    <xf borderId="0" fillId="0" fontId="9" numFmtId="0" xfId="0" applyAlignment="1" applyFont="1">
      <alignment vertical="bottom"/>
    </xf>
    <xf borderId="3" fillId="0" fontId="3" numFmtId="165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horizontal="center" readingOrder="0"/>
    </xf>
    <xf borderId="3" fillId="0" fontId="2" numFmtId="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1" fillId="0" fontId="2" numFmtId="4" xfId="0" applyAlignment="1" applyBorder="1" applyFont="1" applyNumberFormat="1">
      <alignment horizontal="center" readingOrder="0" vertical="center"/>
    </xf>
    <xf borderId="1" fillId="8" fontId="1" numFmtId="0" xfId="0" applyAlignment="1" applyBorder="1" applyFill="1" applyFon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4" xfId="0" applyBorder="1" applyFont="1" applyNumberFormat="1"/>
    <xf borderId="1" fillId="9" fontId="1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1" fillId="0" fontId="9" numFmtId="0" xfId="0" applyAlignment="1" applyBorder="1" applyFont="1">
      <alignment horizontal="center" readingOrder="0" vertical="center"/>
    </xf>
    <xf borderId="1" fillId="10" fontId="15" numFmtId="0" xfId="0" applyAlignment="1" applyBorder="1" applyFill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4" xfId="0" applyFont="1" applyNumberFormat="1"/>
    <xf borderId="0" fillId="0" fontId="1" numFmtId="0" xfId="0" applyAlignment="1" applyFont="1">
      <alignment horizontal="center" readingOrder="0"/>
    </xf>
    <xf borderId="1" fillId="3" fontId="2" numFmtId="0" xfId="0" applyAlignment="1" applyBorder="1" applyFill="1" applyFont="1">
      <alignment readingOrder="0"/>
    </xf>
    <xf borderId="2" fillId="0" fontId="1" numFmtId="164" xfId="0" applyAlignment="1" applyBorder="1" applyFont="1" applyNumberFormat="1">
      <alignment readingOrder="0"/>
    </xf>
    <xf borderId="3" fillId="0" fontId="1" numFmtId="0" xfId="0" applyBorder="1" applyFont="1"/>
    <xf borderId="5" fillId="0" fontId="1" numFmtId="0" xfId="0" applyBorder="1" applyFont="1"/>
    <xf borderId="3" fillId="11" fontId="3" numFmtId="0" xfId="0" applyAlignment="1" applyBorder="1" applyFill="1" applyFont="1">
      <alignment horizontal="center" readingOrder="0" vertical="center"/>
    </xf>
    <xf borderId="2" fillId="11" fontId="2" numFmtId="0" xfId="0" applyAlignment="1" applyBorder="1" applyFill="1" applyFont="1">
      <alignment horizontal="center" readingOrder="0" vertical="center"/>
    </xf>
    <xf borderId="3" fillId="11" fontId="2" numFmtId="0" xfId="0" applyAlignment="1" applyBorder="1" applyFill="1" applyFont="1">
      <alignment horizontal="center" readingOrder="0"/>
    </xf>
    <xf borderId="3" fillId="11" fontId="2" numFmtId="4" xfId="0" applyAlignment="1" applyBorder="1" applyFill="1" applyFont="1" applyNumberFormat="1">
      <alignment horizontal="center" readingOrder="0" vertical="center"/>
    </xf>
    <xf borderId="2" fillId="11" fontId="2" numFmtId="0" xfId="0" applyAlignment="1" applyBorder="1" applyFill="1" applyFont="1">
      <alignment readingOrder="0"/>
    </xf>
    <xf borderId="1" fillId="11" fontId="2" numFmtId="4" xfId="0" applyAlignment="1" applyBorder="1" applyFill="1" applyFont="1" applyNumberFormat="1">
      <alignment horizontal="center" readingOrder="0" vertical="center"/>
    </xf>
    <xf borderId="1" fillId="11" fontId="2" numFmtId="0" xfId="0" applyAlignment="1" applyBorder="1" applyFill="1" applyFont="1">
      <alignment horizontal="center" readingOrder="0" vertical="center"/>
    </xf>
    <xf borderId="1" fillId="11" fontId="1" numFmtId="0" xfId="0" applyBorder="1" applyFill="1" applyFont="1"/>
    <xf borderId="1" fillId="12" fontId="1" numFmtId="0" xfId="0" applyAlignment="1" applyBorder="1" applyFill="1" applyFont="1">
      <alignment horizontal="center" readingOrder="0"/>
    </xf>
    <xf borderId="1" fillId="12" fontId="1" numFmtId="0" xfId="0" applyAlignment="1" applyBorder="1" applyFill="1" applyFont="1">
      <alignment readingOrder="0"/>
    </xf>
    <xf borderId="1" fillId="12" fontId="1" numFmtId="0" xfId="0" applyBorder="1" applyFill="1" applyFont="1"/>
    <xf borderId="1" fillId="12" fontId="1" numFmtId="4" xfId="0" applyAlignment="1" applyBorder="1" applyFill="1" applyFont="1" applyNumberFormat="1">
      <alignment readingOrder="0"/>
    </xf>
    <xf borderId="1" fillId="12" fontId="1" numFmtId="4" xfId="0" applyBorder="1" applyFill="1" applyFont="1" applyNumberFormat="1"/>
    <xf borderId="1" fillId="5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readingOrder="0"/>
    </xf>
    <xf borderId="1" fillId="5" fontId="1" numFmtId="0" xfId="0" applyBorder="1" applyFill="1" applyFont="1"/>
    <xf borderId="1" fillId="5" fontId="1" numFmtId="4" xfId="0" applyAlignment="1" applyBorder="1" applyFill="1" applyFont="1" applyNumberFormat="1">
      <alignment readingOrder="0"/>
    </xf>
    <xf borderId="1" fillId="5" fontId="1" numFmtId="4" xfId="0" applyBorder="1" applyFill="1" applyFont="1" applyNumberFormat="1"/>
    <xf borderId="1" fillId="5" fontId="9" numFmtId="0" xfId="0" applyAlignment="1" applyBorder="1" applyFill="1" applyFont="1">
      <alignment readingOrder="0" shrinkToFit="0" vertical="bottom" wrapText="0"/>
    </xf>
    <xf borderId="0" fillId="5" fontId="1" numFmtId="0" xfId="0" applyFill="1" applyFont="1"/>
    <xf borderId="13" fillId="3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14" fillId="0" fontId="4" numFmtId="0" xfId="0" applyBorder="1" applyFont="1"/>
    <xf borderId="0" fillId="9" fontId="9" numFmtId="0" xfId="0" applyAlignment="1" applyFill="1" applyFont="1">
      <alignment horizontal="center" readingOrder="0" vertical="bottom"/>
    </xf>
    <xf borderId="1" fillId="9" fontId="9" numFmtId="0" xfId="0" applyAlignment="1" applyBorder="1" applyFill="1" applyFont="1">
      <alignment vertical="bottom"/>
    </xf>
    <xf borderId="1" fillId="9" fontId="9" numFmtId="0" xfId="0" applyAlignment="1" applyBorder="1" applyFill="1" applyFont="1">
      <alignment readingOrder="0" vertical="bottom"/>
    </xf>
    <xf borderId="1" fillId="9" fontId="9" numFmtId="164" xfId="0" applyAlignment="1" applyBorder="1" applyFill="1" applyFont="1" applyNumberFormat="1">
      <alignment horizontal="right" vertical="bottom"/>
    </xf>
    <xf borderId="1" fillId="9" fontId="9" numFmtId="0" xfId="0" applyAlignment="1" applyBorder="1" applyFill="1" applyFont="1">
      <alignment horizontal="right" readingOrder="0" vertical="bottom"/>
    </xf>
    <xf borderId="1" fillId="9" fontId="9" numFmtId="0" xfId="0" applyAlignment="1" applyBorder="1" applyFill="1" applyFont="1">
      <alignment readingOrder="0" shrinkToFit="0" vertical="bottom" wrapText="0"/>
    </xf>
    <xf borderId="1" fillId="3" fontId="9" numFmtId="0" xfId="0" applyAlignment="1" applyBorder="1" applyFill="1" applyFont="1">
      <alignment readingOrder="0" vertical="bottom"/>
    </xf>
    <xf borderId="0" fillId="9" fontId="9" numFmtId="0" xfId="0" applyAlignment="1" applyFill="1" applyFont="1">
      <alignment vertical="bottom"/>
    </xf>
    <xf borderId="5" fillId="9" fontId="9" numFmtId="0" xfId="0" applyAlignment="1" applyBorder="1" applyFill="1" applyFont="1">
      <alignment vertical="bottom"/>
    </xf>
    <xf borderId="0" fillId="9" fontId="9" numFmtId="0" xfId="0" applyAlignment="1" applyFill="1" applyFont="1">
      <alignment vertical="bottom"/>
    </xf>
    <xf borderId="0" fillId="9" fontId="9" numFmtId="164" xfId="0" applyAlignment="1" applyFill="1" applyFont="1" applyNumberFormat="1">
      <alignment vertical="bottom"/>
    </xf>
    <xf borderId="0" fillId="9" fontId="1" numFmtId="0" xfId="0" applyFill="1" applyFont="1"/>
    <xf borderId="12" fillId="0" fontId="9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readingOrder="0"/>
    </xf>
    <xf borderId="1" fillId="9" fontId="16" numFmtId="0" xfId="0" applyAlignment="1" applyBorder="1" applyFill="1" applyFont="1">
      <alignment horizontal="center" readingOrder="0" shrinkToFit="0" vertical="bottom" wrapText="1"/>
    </xf>
    <xf borderId="3" fillId="0" fontId="17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" fillId="9" fontId="1" numFmtId="0" xfId="0" applyAlignment="1" applyBorder="1" applyFill="1" applyFont="1">
      <alignment horizontal="center" readingOrder="0"/>
    </xf>
    <xf borderId="1" fillId="9" fontId="1" numFmtId="164" xfId="0" applyAlignment="1" applyBorder="1" applyFill="1" applyFont="1" applyNumberFormat="1">
      <alignment horizontal="center" readingOrder="0"/>
    </xf>
    <xf borderId="1" fillId="9" fontId="18" numFmtId="0" xfId="0" applyAlignment="1" applyBorder="1" applyFill="1" applyFont="1">
      <alignment horizontal="center" readingOrder="0"/>
    </xf>
    <xf borderId="2" fillId="11" fontId="2" numFmtId="0" xfId="0" applyAlignment="1" applyBorder="1" applyFill="1" applyFont="1">
      <alignment horizontal="center" readingOrder="0"/>
    </xf>
    <xf borderId="1" fillId="11" fontId="2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5" fontId="1" numFmtId="4" xfId="0" applyAlignment="1" applyBorder="1" applyFill="1" applyFont="1" applyNumberForma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5" fontId="1" numFmtId="166" xfId="0" applyAlignment="1" applyBorder="1" applyFill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5" fontId="9" numFmtId="0" xfId="0" applyAlignment="1" applyBorder="1" applyFill="1" applyFont="1">
      <alignment horizontal="center" readingOrder="0" shrinkToFit="0" vertical="bottom" wrapText="0"/>
    </xf>
    <xf borderId="0" fillId="5" fontId="1" numFmtId="4" xfId="0" applyFill="1" applyFont="1" applyNumberFormat="1"/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/>
    </xf>
    <xf borderId="1" fillId="0" fontId="1" numFmtId="4" xfId="0" applyAlignment="1" applyBorder="1" applyFont="1" applyNumberFormat="1">
      <alignment horizontal="center" readingOrder="0"/>
    </xf>
    <xf borderId="1" fillId="0" fontId="1" numFmtId="4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1" fillId="0" fontId="19" numFmtId="0" xfId="0" applyAlignment="1" applyBorder="1" applyFont="1">
      <alignment readingOrder="0"/>
    </xf>
    <xf borderId="1" fillId="5" fontId="19" numFmtId="0" xfId="0" applyAlignment="1" applyBorder="1" applyFill="1" applyFont="1">
      <alignment readingOrder="0"/>
    </xf>
    <xf borderId="3" fillId="2" fontId="3" numFmtId="0" xfId="0" applyAlignment="1" applyBorder="1" applyFill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0" fillId="3" fontId="1" numFmtId="0" xfId="0" applyAlignment="1" applyFill="1" applyFont="1">
      <alignment horizontal="center" readingOrder="0"/>
    </xf>
    <xf borderId="1" fillId="5" fontId="9" numFmtId="0" xfId="0" applyAlignment="1" applyBorder="1" applyFill="1" applyFont="1">
      <alignment readingOrder="0" vertical="bottom"/>
    </xf>
    <xf borderId="1" fillId="0" fontId="9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center"/>
    </xf>
    <xf quotePrefix="1" borderId="0" fillId="0" fontId="1" numFmtId="0" xfId="0" applyAlignment="1" applyFont="1">
      <alignment readingOrder="0"/>
    </xf>
    <xf borderId="0" fillId="5" fontId="11" numFmtId="0" xfId="0" applyFill="1" applyFont="1"/>
    <xf borderId="4" fillId="0" fontId="5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right" readingOrder="0" vertical="center"/>
    </xf>
    <xf borderId="0" fillId="5" fontId="15" numFmtId="0" xfId="0" applyAlignment="1" applyFill="1" applyFont="1">
      <alignment horizontal="left" readingOrder="0"/>
    </xf>
    <xf borderId="0" fillId="0" fontId="20" numFmtId="0" xfId="0" applyAlignment="1" applyFont="1">
      <alignment horizontal="center" readingOrder="0"/>
    </xf>
    <xf borderId="3" fillId="0" fontId="20" numFmtId="0" xfId="0" applyAlignment="1" applyBorder="1" applyFont="1">
      <alignment horizontal="center" readingOrder="0"/>
    </xf>
    <xf borderId="2" fillId="0" fontId="7" numFmtId="0" xfId="0" applyAlignment="1" applyBorder="1" applyFont="1">
      <alignment vertical="bottom"/>
    </xf>
    <xf borderId="2" fillId="0" fontId="7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center" vertical="bottom"/>
    </xf>
    <xf borderId="2" fillId="3" fontId="7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right" vertical="bottom"/>
    </xf>
    <xf borderId="1" fillId="5" fontId="9" numFmtId="0" xfId="0" applyAlignment="1" applyBorder="1" applyFill="1" applyFont="1">
      <alignment horizontal="right" vertical="bottom"/>
    </xf>
    <xf borderId="1" fillId="0" fontId="7" numFmtId="0" xfId="0" applyAlignment="1" applyBorder="1" applyFont="1">
      <alignment vertical="bottom"/>
    </xf>
    <xf borderId="1" fillId="0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shrinkToFit="0" vertical="bottom" wrapText="0"/>
    </xf>
    <xf borderId="1" fillId="3" fontId="9" numFmtId="0" xfId="0" applyAlignment="1" applyBorder="1" applyFill="1" applyFont="1">
      <alignment vertical="bottom"/>
    </xf>
    <xf borderId="1" fillId="0" fontId="7" numFmtId="0" xfId="0" applyAlignment="1" applyBorder="1" applyFont="1">
      <alignment horizontal="right" readingOrder="0" vertical="bottom"/>
    </xf>
    <xf borderId="1" fillId="3" fontId="9" numFmtId="0" xfId="0" applyAlignment="1" applyBorder="1" applyFill="1" applyFont="1">
      <alignment shrinkToFit="0" vertical="bottom" wrapText="0"/>
    </xf>
    <xf borderId="2" fillId="0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la Mohamed" id="{d3a98d00-2b11-471b-9c92-027f102927f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4" dT="2022-06-20T15:17:45.00" personId="{d3a98d00-2b11-471b-9c92-027f102927fe}" id="{8b89f478-718e-4e39-b772-ff9cb3542dec}" done="0">
    <x18tc:text xml:space="preserve">day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3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4" max="4" width="14.88"/>
    <col customWidth="1" min="5" max="6" width="7.38"/>
    <col customWidth="1" min="7" max="28" width="10.38"/>
  </cols>
  <sheetData>
    <row r="1">
      <c r="A1" s="2" t="s">
        <v>1</v>
      </c>
      <c r="B1" s="4" t="s">
        <v>11</v>
      </c>
      <c r="C1" s="5"/>
      <c r="D1" s="6"/>
      <c r="E1" s="9" t="s">
        <v>6</v>
      </c>
      <c r="F1" s="5"/>
      <c r="G1" s="6"/>
      <c r="H1" s="9" t="s">
        <v>16</v>
      </c>
      <c r="I1" s="5"/>
      <c r="J1" s="6"/>
      <c r="K1" s="9" t="s">
        <v>8</v>
      </c>
      <c r="L1" s="5"/>
      <c r="M1" s="6"/>
      <c r="N1" s="9"/>
      <c r="O1" s="5"/>
      <c r="P1" s="6"/>
      <c r="Q1" s="9" t="s">
        <v>20</v>
      </c>
      <c r="R1" s="5"/>
      <c r="S1" s="6"/>
      <c r="T1" s="9"/>
      <c r="U1" s="5"/>
      <c r="V1" s="6"/>
      <c r="W1" s="9" t="s">
        <v>15</v>
      </c>
      <c r="X1" s="5"/>
      <c r="Y1" s="6"/>
      <c r="Z1" s="9" t="s">
        <v>23</v>
      </c>
      <c r="AA1" s="5"/>
      <c r="AB1" s="6"/>
    </row>
    <row r="2">
      <c r="A2" s="15"/>
      <c r="B2" s="16" t="s">
        <v>25</v>
      </c>
      <c r="C2" s="16" t="s">
        <v>27</v>
      </c>
      <c r="D2" s="16" t="s">
        <v>28</v>
      </c>
      <c r="E2" s="17" t="s">
        <v>25</v>
      </c>
      <c r="F2" s="17" t="s">
        <v>27</v>
      </c>
      <c r="G2" s="19" t="s">
        <v>28</v>
      </c>
      <c r="H2" s="20" t="s">
        <v>25</v>
      </c>
      <c r="I2" s="20" t="s">
        <v>27</v>
      </c>
      <c r="J2" s="19" t="s">
        <v>28</v>
      </c>
      <c r="K2" s="20" t="s">
        <v>25</v>
      </c>
      <c r="L2" s="20" t="s">
        <v>27</v>
      </c>
      <c r="M2" s="19" t="s">
        <v>28</v>
      </c>
      <c r="N2" s="20" t="s">
        <v>25</v>
      </c>
      <c r="O2" s="20" t="s">
        <v>27</v>
      </c>
      <c r="P2" s="19" t="s">
        <v>28</v>
      </c>
      <c r="Q2" s="20" t="s">
        <v>25</v>
      </c>
      <c r="R2" s="20" t="s">
        <v>27</v>
      </c>
      <c r="S2" s="19" t="s">
        <v>28</v>
      </c>
      <c r="T2" s="20" t="s">
        <v>25</v>
      </c>
      <c r="U2" s="20" t="s">
        <v>27</v>
      </c>
      <c r="V2" s="22" t="s">
        <v>28</v>
      </c>
      <c r="W2" s="20" t="s">
        <v>25</v>
      </c>
      <c r="X2" s="20" t="s">
        <v>27</v>
      </c>
      <c r="Y2" s="22" t="s">
        <v>28</v>
      </c>
      <c r="Z2" s="20" t="s">
        <v>25</v>
      </c>
      <c r="AA2" s="20" t="s">
        <v>27</v>
      </c>
      <c r="AB2" s="22" t="s">
        <v>28</v>
      </c>
    </row>
    <row r="3">
      <c r="A3" s="24" t="s">
        <v>33</v>
      </c>
      <c r="B3" s="26">
        <v>13.0</v>
      </c>
      <c r="C3" s="26">
        <v>0.0</v>
      </c>
      <c r="D3" s="33">
        <f t="shared" ref="D3:D5" si="1">sum(B3:C3)</f>
        <v>13</v>
      </c>
      <c r="E3" s="37">
        <f>(COUNTIF('NLP 1'!D4:D16,"*menna*"))</f>
        <v>9</v>
      </c>
      <c r="F3" s="37">
        <f>COUNTIF(#REF!,"*menna*")</f>
        <v>0</v>
      </c>
      <c r="G3" s="40">
        <f t="shared" ref="G3:G5" si="2">sum(E3:F3)</f>
        <v>9</v>
      </c>
      <c r="H3" s="40">
        <f>COUNTIF('NLP 1'!D4:D16,"*Adham*")</f>
        <v>1</v>
      </c>
      <c r="I3" s="44">
        <f>COUNTIF(#REF!,"*Adham*")</f>
        <v>0</v>
      </c>
      <c r="J3" s="40">
        <f t="shared" ref="J3:J5" si="3">sum(H3:I3)</f>
        <v>1</v>
      </c>
      <c r="K3" s="40">
        <f>COUNTIF('NLP 1'!D4:D16,"*Akreman*")</f>
        <v>0</v>
      </c>
      <c r="L3" s="40">
        <f>COUNTIF(#REF!,"*Akreman*")</f>
        <v>0</v>
      </c>
      <c r="M3" s="40">
        <f t="shared" ref="M3:M5" si="4">sum(K3:L3)</f>
        <v>0</v>
      </c>
      <c r="N3" s="40">
        <f>COUNTIF('NLP 1'!D4:D16,"*rasha*")</f>
        <v>0</v>
      </c>
      <c r="O3" s="40">
        <f>COUNTIF(#REF!,"*rasha*")</f>
        <v>0</v>
      </c>
      <c r="P3" s="40">
        <f t="shared" ref="P3:P5" si="5">sum(N3:O3)</f>
        <v>0</v>
      </c>
      <c r="Q3" s="40">
        <f>COUNTIF('NLP 1'!D4:D16,"*nourhan*")</f>
        <v>2</v>
      </c>
      <c r="R3" s="40">
        <f>COUNTIF(#REF!,"*nourhan*")</f>
        <v>0</v>
      </c>
      <c r="S3" s="40">
        <f t="shared" ref="S3:S5" si="6">sum(Q3:R3)</f>
        <v>2</v>
      </c>
      <c r="T3" s="40">
        <f>COUNTIF('NLP 1'!D4:D16,"*ashrakat*")</f>
        <v>0</v>
      </c>
      <c r="U3" s="40">
        <f>COUNTIF(#REF!,"*ashrakat*")</f>
        <v>0</v>
      </c>
      <c r="V3" s="40">
        <f t="shared" ref="V3:V5" si="7">sum(T3:U3)</f>
        <v>0</v>
      </c>
      <c r="W3" s="40">
        <f>COUNTIF('NLP 1'!D4:D16,"*mariam*")</f>
        <v>0</v>
      </c>
      <c r="X3" s="40">
        <f>COUNTIF(#REF!,"*mariam*")</f>
        <v>0</v>
      </c>
      <c r="Y3" s="40">
        <f t="shared" ref="Y3:Y5" si="8">sum(W3:X3)</f>
        <v>0</v>
      </c>
      <c r="Z3" s="40">
        <f>COUNTIF('NLP 1'!D4:D16,"*Khalid*")</f>
        <v>0</v>
      </c>
      <c r="AA3" s="40">
        <f>COUNTIF(#REF!,"*khalid*")</f>
        <v>0</v>
      </c>
      <c r="AB3" s="40">
        <f t="shared" ref="AB3:AB5" si="9">sum(Z3:AA3)</f>
        <v>0</v>
      </c>
    </row>
    <row r="4">
      <c r="A4" s="24" t="s">
        <v>65</v>
      </c>
      <c r="B4" s="33">
        <f>('Enn 1'!B41)</f>
        <v>8</v>
      </c>
      <c r="C4" s="33">
        <f>('Enn 1'!O41)</f>
        <v>5</v>
      </c>
      <c r="D4" s="33">
        <f t="shared" si="1"/>
        <v>13</v>
      </c>
      <c r="E4" s="37">
        <f>COUNTIF('Enn 1'!D4:D40,"*menna*")</f>
        <v>6</v>
      </c>
      <c r="F4" s="37">
        <f>COUNTIF('Enn 1'!Q4:Q40,"*menna*")</f>
        <v>1</v>
      </c>
      <c r="G4" s="40">
        <f t="shared" si="2"/>
        <v>7</v>
      </c>
      <c r="H4" s="44">
        <f>COUNTIF('Enn 1'!D4:D40,"*Adham*")</f>
        <v>0</v>
      </c>
      <c r="I4" s="44">
        <f>COUNTIF('Enn 1'!Q4:Q40,"*Adham*")</f>
        <v>0</v>
      </c>
      <c r="J4" s="40">
        <f t="shared" si="3"/>
        <v>0</v>
      </c>
      <c r="K4" s="44">
        <f>COUNTIF('Enn 1'!D4:D40,"*Akreman*")</f>
        <v>0</v>
      </c>
      <c r="L4" s="44">
        <f>COUNTIF('Enn 1'!Q4:Q40,"*Akreman*")</f>
        <v>0</v>
      </c>
      <c r="M4" s="40">
        <f t="shared" si="4"/>
        <v>0</v>
      </c>
      <c r="N4" s="44">
        <f>COUNTIF('Enn 1'!D4:D40,"*rasha*")</f>
        <v>0</v>
      </c>
      <c r="O4" s="44">
        <f>COUNTIF('Enn 1'!Q4:Q40,"*rasha*")</f>
        <v>0</v>
      </c>
      <c r="P4" s="40">
        <f t="shared" si="5"/>
        <v>0</v>
      </c>
      <c r="Q4" s="44">
        <f>COUNTIF('Enn 1'!D4:D40,"*nourhan*")</f>
        <v>1</v>
      </c>
      <c r="R4" s="44">
        <f>COUNTIF('Enn 1'!Q4:Q40,"*nourhan*")</f>
        <v>2</v>
      </c>
      <c r="S4" s="40">
        <f t="shared" si="6"/>
        <v>3</v>
      </c>
      <c r="T4" s="44">
        <f>COUNTIF('Enn 1'!D4:D40,"*ashrakat*")</f>
        <v>0</v>
      </c>
      <c r="U4" s="44">
        <f>COUNTIF('Enn 1'!Q4:Q40,"*ashrakat*")</f>
        <v>0</v>
      </c>
      <c r="V4" s="40">
        <f t="shared" si="7"/>
        <v>0</v>
      </c>
      <c r="W4" s="44">
        <f>COUNTIF('Enn 1'!D4:D40,"*mariam*")</f>
        <v>0</v>
      </c>
      <c r="X4" s="44">
        <f>COUNTIF('Enn 1'!Q4:Q40,"*mariam*")</f>
        <v>0</v>
      </c>
      <c r="Y4" s="40">
        <f t="shared" si="8"/>
        <v>0</v>
      </c>
      <c r="Z4" s="44">
        <f>COUNTIF('Enn 1'!D4:D40,"*khalid*")</f>
        <v>0</v>
      </c>
      <c r="AA4" s="44">
        <f>COUNTIF('Enn 1'!Q4:Q40,"*khalid*")</f>
        <v>0</v>
      </c>
      <c r="AB4" s="40">
        <f t="shared" si="9"/>
        <v>0</v>
      </c>
    </row>
    <row r="5">
      <c r="A5" s="24" t="s">
        <v>95</v>
      </c>
      <c r="B5" s="33">
        <f>('Reiki D'!B41)</f>
        <v>5</v>
      </c>
      <c r="C5" s="33" t="str">
        <f>'Reiki D'!O41</f>
        <v/>
      </c>
      <c r="D5" s="33">
        <f t="shared" si="1"/>
        <v>5</v>
      </c>
      <c r="E5" s="37">
        <f>COUNTIF('Reiki D'!D4:D40,"*menna*")</f>
        <v>2</v>
      </c>
      <c r="F5" s="37">
        <f>COUNTIF('Reiki D'!Q4:Q40,"*menna*")</f>
        <v>5</v>
      </c>
      <c r="G5" s="40">
        <f t="shared" si="2"/>
        <v>7</v>
      </c>
      <c r="H5" s="44">
        <f>COUNTIF('Reiki D'!D4:D40,"*Adham*")</f>
        <v>0</v>
      </c>
      <c r="I5" s="44">
        <f>COUNTIF('Reiki D'!Q4:Q40,"*Adham*")</f>
        <v>0</v>
      </c>
      <c r="J5" s="40">
        <f t="shared" si="3"/>
        <v>0</v>
      </c>
      <c r="K5" s="44">
        <f>COUNTIF('Reiki D'!D4:D40,"*Akreman*")</f>
        <v>0</v>
      </c>
      <c r="L5" s="44">
        <f>COUNTIF('Reiki D'!Q4:Q40,"*Akreman*")</f>
        <v>0</v>
      </c>
      <c r="M5" s="40">
        <f t="shared" si="4"/>
        <v>0</v>
      </c>
      <c r="N5" s="44">
        <f>COUNTIF('Reiki D'!D4:D40,"*rasha*")</f>
        <v>0</v>
      </c>
      <c r="O5" s="44">
        <f>COUNTIF('Reiki D'!Q4:Q40,"*rasha*")</f>
        <v>0</v>
      </c>
      <c r="P5" s="40">
        <f t="shared" si="5"/>
        <v>0</v>
      </c>
      <c r="Q5" s="44">
        <f>COUNTIF('Reiki D'!D4:D40,"*nourhan*")</f>
        <v>1</v>
      </c>
      <c r="R5" s="44">
        <f>COUNTIF('Reiki D'!Q4:Q40,"*nourhan*")</f>
        <v>2</v>
      </c>
      <c r="S5" s="40">
        <f t="shared" si="6"/>
        <v>3</v>
      </c>
      <c r="T5" s="44">
        <f>COUNTIF('Reiki D'!D4:D40,"*ashrakat*")</f>
        <v>0</v>
      </c>
      <c r="U5" s="44">
        <f>COUNTIF('Reiki D'!Q4:Q40,"*ashrakat*")</f>
        <v>0</v>
      </c>
      <c r="V5" s="40">
        <f t="shared" si="7"/>
        <v>0</v>
      </c>
      <c r="W5" s="44">
        <f>COUNTIF('Reiki D'!D4:D40,"*Mariam*")</f>
        <v>2</v>
      </c>
      <c r="X5" s="44">
        <f>COUNTIF('Reiki D'!Q4:Q40,"*mariam*")</f>
        <v>0</v>
      </c>
      <c r="Y5" s="40">
        <f t="shared" si="8"/>
        <v>2</v>
      </c>
      <c r="Z5" s="44">
        <f>COUNTIF('Reiki D'!D4:D40,"*khalid*")</f>
        <v>0</v>
      </c>
      <c r="AA5" s="44">
        <f>COUNTIF('Reiki D'!Q4:Q40,"*khalid*")</f>
        <v>0</v>
      </c>
      <c r="AB5" s="40">
        <f t="shared" si="9"/>
        <v>0</v>
      </c>
    </row>
    <row r="6">
      <c r="A6" s="64" t="s">
        <v>28</v>
      </c>
      <c r="B6" s="65">
        <f t="shared" ref="B6:D6" si="10">SUM(B3:B5)</f>
        <v>26</v>
      </c>
      <c r="C6" s="65">
        <f t="shared" si="10"/>
        <v>5</v>
      </c>
      <c r="D6" s="65">
        <f t="shared" si="10"/>
        <v>31</v>
      </c>
      <c r="E6" s="66"/>
      <c r="F6" s="6"/>
      <c r="G6" s="67">
        <f>SUM(G3:G5)</f>
        <v>23</v>
      </c>
      <c r="H6" s="66"/>
      <c r="I6" s="6"/>
      <c r="J6" s="67">
        <f>SUM(J3:J5)</f>
        <v>1</v>
      </c>
      <c r="K6" s="66"/>
      <c r="L6" s="6"/>
      <c r="M6" s="67">
        <f>SUM(M3:M5)</f>
        <v>0</v>
      </c>
      <c r="N6" s="66"/>
      <c r="O6" s="6"/>
      <c r="P6" s="67">
        <f>SUM(P3:P5)</f>
        <v>0</v>
      </c>
      <c r="Q6" s="66"/>
      <c r="R6" s="6"/>
      <c r="S6" s="67">
        <f>SUM(S3:S5)</f>
        <v>8</v>
      </c>
      <c r="T6" s="66"/>
      <c r="U6" s="6"/>
      <c r="V6" s="67">
        <f>SUM(V3:V5)</f>
        <v>0</v>
      </c>
      <c r="W6" s="66"/>
      <c r="X6" s="6"/>
      <c r="Y6" s="67">
        <f>SUM(Y3:Y5)</f>
        <v>2</v>
      </c>
      <c r="Z6" s="66"/>
      <c r="AA6" s="6"/>
      <c r="AB6" s="67">
        <f>SUM(AB3:AB5)</f>
        <v>0</v>
      </c>
    </row>
    <row r="7" ht="27.0" customHeight="1">
      <c r="D7" s="16" t="s">
        <v>96</v>
      </c>
      <c r="E7" s="37"/>
      <c r="F7" s="37"/>
      <c r="G7" s="68">
        <f>G6/D6</f>
        <v>0.7419354839</v>
      </c>
      <c r="H7" s="68"/>
      <c r="I7" s="68"/>
      <c r="J7" s="68">
        <f>J6/D6</f>
        <v>0.03225806452</v>
      </c>
      <c r="K7" s="68"/>
      <c r="L7" s="68"/>
      <c r="M7" s="68">
        <f>M6/D6</f>
        <v>0</v>
      </c>
      <c r="N7" s="68"/>
      <c r="O7" s="68"/>
      <c r="P7" s="68">
        <f>P6/D6</f>
        <v>0</v>
      </c>
      <c r="Q7" s="68"/>
      <c r="R7" s="68"/>
      <c r="S7" s="69">
        <f>S6/D6</f>
        <v>0.2580645161</v>
      </c>
      <c r="T7" s="68"/>
      <c r="U7" s="68"/>
      <c r="V7" s="68">
        <f>V6/D6</f>
        <v>0</v>
      </c>
      <c r="W7" s="68"/>
      <c r="X7" s="68"/>
      <c r="Y7" s="68">
        <f>Y6/D6</f>
        <v>0.06451612903</v>
      </c>
      <c r="Z7" s="68"/>
      <c r="AA7" s="68"/>
      <c r="AB7" s="68">
        <f>AB6/D6</f>
        <v>0</v>
      </c>
    </row>
    <row r="8"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</row>
    <row r="10">
      <c r="A10" s="2" t="s">
        <v>97</v>
      </c>
      <c r="B10" s="4" t="s">
        <v>11</v>
      </c>
      <c r="C10" s="5"/>
      <c r="D10" s="6"/>
    </row>
    <row r="11">
      <c r="A11" s="15"/>
      <c r="B11" s="16" t="s">
        <v>25</v>
      </c>
      <c r="C11" s="16" t="s">
        <v>27</v>
      </c>
      <c r="D11" s="16" t="s">
        <v>28</v>
      </c>
    </row>
    <row r="12">
      <c r="A12" s="24" t="s">
        <v>98</v>
      </c>
      <c r="B12" s="33">
        <f>'FC D1'!B42</f>
        <v>9</v>
      </c>
      <c r="C12" s="33"/>
      <c r="D12" s="33">
        <f t="shared" ref="D12:D14" si="11">sum(B12:C12)</f>
        <v>9</v>
      </c>
    </row>
    <row r="13">
      <c r="A13" s="24" t="s">
        <v>99</v>
      </c>
      <c r="B13" s="33">
        <f>'Mini CAW'!B43</f>
        <v>10</v>
      </c>
      <c r="C13" s="33">
        <f>'Mini CAW'!L43</f>
        <v>0</v>
      </c>
      <c r="D13" s="33">
        <f t="shared" si="11"/>
        <v>10</v>
      </c>
    </row>
    <row r="14">
      <c r="A14" s="64" t="s">
        <v>28</v>
      </c>
      <c r="B14" s="65">
        <f t="shared" ref="B14:C14" si="12">sum(B10:B12)</f>
        <v>9</v>
      </c>
      <c r="C14" s="65">
        <f t="shared" si="12"/>
        <v>0</v>
      </c>
      <c r="D14" s="72">
        <f t="shared" si="11"/>
        <v>9</v>
      </c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</row>
  </sheetData>
  <mergeCells count="20">
    <mergeCell ref="T1:V1"/>
    <mergeCell ref="W1:Y1"/>
    <mergeCell ref="Z1:AB1"/>
    <mergeCell ref="A1:A2"/>
    <mergeCell ref="B1:D1"/>
    <mergeCell ref="E1:G1"/>
    <mergeCell ref="H1:J1"/>
    <mergeCell ref="K1:M1"/>
    <mergeCell ref="N1:P1"/>
    <mergeCell ref="Q1:S1"/>
    <mergeCell ref="E6:F6"/>
    <mergeCell ref="A10:A11"/>
    <mergeCell ref="B10:D10"/>
    <mergeCell ref="H6:I6"/>
    <mergeCell ref="K6:L6"/>
    <mergeCell ref="N6:O6"/>
    <mergeCell ref="Q6:R6"/>
    <mergeCell ref="T6:U6"/>
    <mergeCell ref="W6:X6"/>
    <mergeCell ref="Z6:AA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</row>
    <row r="2">
      <c r="A2" s="1" t="s">
        <v>6</v>
      </c>
      <c r="B2" s="1" t="s">
        <v>7</v>
      </c>
      <c r="C2" s="1">
        <v>600.0</v>
      </c>
    </row>
    <row r="3">
      <c r="A3" s="1" t="s">
        <v>8</v>
      </c>
      <c r="B3" s="1" t="s">
        <v>9</v>
      </c>
      <c r="C3" s="1">
        <v>1800.0</v>
      </c>
    </row>
    <row r="4">
      <c r="A4" s="1" t="s">
        <v>10</v>
      </c>
      <c r="B4" s="1" t="s">
        <v>12</v>
      </c>
      <c r="C4" s="1">
        <v>300.0</v>
      </c>
    </row>
    <row r="5">
      <c r="A5" s="1" t="s">
        <v>13</v>
      </c>
      <c r="B5" s="1" t="s">
        <v>14</v>
      </c>
      <c r="C5" s="1">
        <v>900.0</v>
      </c>
    </row>
    <row r="6">
      <c r="A6" s="1" t="s">
        <v>15</v>
      </c>
    </row>
    <row r="7">
      <c r="A7" s="1" t="s">
        <v>16</v>
      </c>
    </row>
    <row r="9">
      <c r="A9" s="1"/>
    </row>
    <row r="10">
      <c r="A1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4.25"/>
    <col customWidth="1" min="3" max="3" width="13.0"/>
    <col customWidth="1" min="4" max="4" width="8.5"/>
    <col customWidth="1" min="5" max="5" width="8.88"/>
    <col customWidth="1" min="6" max="6" width="6.13"/>
    <col customWidth="1" min="7" max="7" width="10.25"/>
    <col customWidth="1" min="8" max="8" width="11.25"/>
    <col customWidth="1" min="9" max="9" width="10.5"/>
    <col customWidth="1" min="10" max="13" width="7.5"/>
    <col customWidth="1" min="14" max="14" width="4.75"/>
    <col customWidth="1" min="15" max="15" width="12.38"/>
    <col customWidth="1" min="16" max="16" width="9.75"/>
    <col customWidth="1" min="17" max="17" width="12.25"/>
    <col customWidth="1" min="18" max="18" width="7.88"/>
    <col customWidth="1" min="19" max="19" width="5.13"/>
    <col customWidth="1" min="20" max="20" width="11.63"/>
    <col customWidth="1" min="21" max="21" width="9.5"/>
    <col customWidth="1" min="22" max="22" width="10.5"/>
    <col customWidth="1" min="23" max="23" width="7.0"/>
    <col customWidth="1" min="24" max="24" width="6.38"/>
    <col customWidth="1" min="25" max="25" width="6.75"/>
    <col customWidth="1" min="26" max="26" width="6.88"/>
  </cols>
  <sheetData>
    <row r="1">
      <c r="A1" s="3" t="s">
        <v>2</v>
      </c>
      <c r="B1" s="5"/>
      <c r="C1" s="5"/>
      <c r="D1" s="5"/>
      <c r="E1" s="5"/>
      <c r="F1" s="5"/>
      <c r="G1" s="5"/>
      <c r="H1" s="6"/>
      <c r="I1" s="8" t="s">
        <v>17</v>
      </c>
      <c r="J1" s="10" t="s">
        <v>18</v>
      </c>
      <c r="K1" s="11"/>
      <c r="L1" s="11"/>
      <c r="M1" s="12"/>
      <c r="N1" s="13" t="s">
        <v>19</v>
      </c>
      <c r="O1" s="5"/>
      <c r="P1" s="5"/>
      <c r="Q1" s="5"/>
      <c r="R1" s="5"/>
      <c r="S1" s="5"/>
      <c r="T1" s="5"/>
      <c r="U1" s="6"/>
      <c r="V1" s="8" t="s">
        <v>17</v>
      </c>
      <c r="W1" s="10" t="s">
        <v>18</v>
      </c>
      <c r="X1" s="11"/>
      <c r="Y1" s="11"/>
      <c r="Z1" s="12"/>
    </row>
    <row r="2">
      <c r="A2" s="14" t="s">
        <v>21</v>
      </c>
      <c r="B2" s="14" t="s">
        <v>22</v>
      </c>
      <c r="C2" s="14" t="s">
        <v>24</v>
      </c>
      <c r="D2" s="14" t="s">
        <v>0</v>
      </c>
      <c r="E2" s="18" t="s">
        <v>26</v>
      </c>
      <c r="F2" s="5"/>
      <c r="G2" s="5"/>
      <c r="H2" s="6"/>
      <c r="I2" s="15"/>
      <c r="J2" s="21" t="s">
        <v>29</v>
      </c>
      <c r="K2" s="21" t="s">
        <v>30</v>
      </c>
      <c r="L2" s="21" t="s">
        <v>31</v>
      </c>
      <c r="M2" s="21" t="s">
        <v>32</v>
      </c>
      <c r="N2" s="14" t="s">
        <v>21</v>
      </c>
      <c r="O2" s="23" t="s">
        <v>22</v>
      </c>
      <c r="P2" s="23" t="s">
        <v>24</v>
      </c>
      <c r="Q2" s="23" t="s">
        <v>0</v>
      </c>
      <c r="R2" s="27" t="s">
        <v>26</v>
      </c>
      <c r="S2" s="28"/>
      <c r="T2" s="28"/>
      <c r="U2" s="30"/>
      <c r="V2" s="15"/>
      <c r="W2" s="21" t="s">
        <v>29</v>
      </c>
      <c r="X2" s="21" t="s">
        <v>30</v>
      </c>
      <c r="Y2" s="21" t="s">
        <v>31</v>
      </c>
      <c r="Z2" s="21" t="s">
        <v>32</v>
      </c>
    </row>
    <row r="3">
      <c r="A3" s="15"/>
      <c r="B3" s="15"/>
      <c r="C3" s="15"/>
      <c r="D3" s="15"/>
      <c r="E3" s="25" t="s">
        <v>34</v>
      </c>
      <c r="F3" s="25" t="s">
        <v>35</v>
      </c>
      <c r="G3" s="25" t="s">
        <v>36</v>
      </c>
      <c r="H3" s="25" t="s">
        <v>37</v>
      </c>
      <c r="I3" s="29"/>
      <c r="J3" s="15"/>
      <c r="K3" s="15"/>
      <c r="L3" s="15"/>
      <c r="M3" s="15"/>
      <c r="N3" s="15"/>
      <c r="O3" s="30"/>
      <c r="P3" s="30"/>
      <c r="Q3" s="30"/>
      <c r="R3" s="35" t="s">
        <v>34</v>
      </c>
      <c r="S3" s="35" t="s">
        <v>35</v>
      </c>
      <c r="T3" s="35" t="s">
        <v>36</v>
      </c>
      <c r="U3" s="35" t="s">
        <v>37</v>
      </c>
      <c r="V3" s="29"/>
      <c r="W3" s="15"/>
      <c r="X3" s="15"/>
      <c r="Y3" s="15"/>
      <c r="Z3" s="15"/>
    </row>
    <row r="4">
      <c r="A4" s="36">
        <v>1.0</v>
      </c>
      <c r="B4" s="38" t="s">
        <v>39</v>
      </c>
      <c r="C4" s="39"/>
      <c r="D4" s="41" t="s">
        <v>6</v>
      </c>
      <c r="E4" s="43">
        <v>4000.0</v>
      </c>
      <c r="F4" s="45">
        <v>4650.0</v>
      </c>
      <c r="G4" s="47">
        <f t="shared" ref="G4:G8" si="1">E4-F4</f>
        <v>-650</v>
      </c>
      <c r="H4" s="45" t="s">
        <v>42</v>
      </c>
      <c r="I4" s="45"/>
      <c r="J4" s="49"/>
      <c r="K4" s="49"/>
      <c r="L4" s="49"/>
      <c r="M4" s="49"/>
      <c r="N4" s="36">
        <v>1.0</v>
      </c>
      <c r="O4" s="45" t="s">
        <v>43</v>
      </c>
      <c r="P4" s="45"/>
      <c r="Q4" s="50" t="s">
        <v>6</v>
      </c>
      <c r="R4" s="43"/>
      <c r="S4" s="50"/>
      <c r="T4" s="43">
        <f t="shared" ref="T4:T40" si="2">R4-S4</f>
        <v>0</v>
      </c>
      <c r="U4" s="52" t="s">
        <v>47</v>
      </c>
      <c r="V4" s="53"/>
      <c r="W4" s="53"/>
      <c r="X4" s="53"/>
      <c r="Y4" s="45" t="s">
        <v>50</v>
      </c>
      <c r="Z4" s="45" t="s">
        <v>50</v>
      </c>
      <c r="AA4" s="49"/>
      <c r="AB4" s="49"/>
    </row>
    <row r="5">
      <c r="A5" s="31">
        <v>2.0</v>
      </c>
      <c r="B5" s="54" t="s">
        <v>52</v>
      </c>
      <c r="C5" s="1" t="s">
        <v>54</v>
      </c>
      <c r="D5" s="1" t="s">
        <v>6</v>
      </c>
      <c r="E5" s="42">
        <v>4000.0</v>
      </c>
      <c r="F5" s="1">
        <v>4000.0</v>
      </c>
      <c r="G5" s="46">
        <f t="shared" si="1"/>
        <v>0</v>
      </c>
      <c r="H5" s="1"/>
      <c r="I5" s="29"/>
      <c r="J5" s="55" t="s">
        <v>57</v>
      </c>
      <c r="N5" s="31">
        <v>2.0</v>
      </c>
      <c r="O5" s="56" t="s">
        <v>58</v>
      </c>
      <c r="P5" s="56">
        <v>1.273700189E9</v>
      </c>
      <c r="Q5" s="56" t="s">
        <v>13</v>
      </c>
      <c r="R5" s="42">
        <v>4000.0</v>
      </c>
      <c r="S5" s="56">
        <v>4000.0</v>
      </c>
      <c r="T5" s="42">
        <f t="shared" si="2"/>
        <v>0</v>
      </c>
      <c r="U5" s="59"/>
      <c r="V5" s="29"/>
      <c r="W5" s="1" t="s">
        <v>50</v>
      </c>
      <c r="X5" s="37"/>
      <c r="Y5" s="1" t="s">
        <v>50</v>
      </c>
      <c r="Z5" s="1" t="s">
        <v>50</v>
      </c>
    </row>
    <row r="6">
      <c r="A6" s="31">
        <v>3.0</v>
      </c>
      <c r="B6" s="54" t="s">
        <v>63</v>
      </c>
      <c r="C6" s="1" t="s">
        <v>64</v>
      </c>
      <c r="D6" s="1" t="s">
        <v>6</v>
      </c>
      <c r="E6" s="42">
        <v>4000.0</v>
      </c>
      <c r="F6" s="1">
        <v>2000.0</v>
      </c>
      <c r="G6" s="46">
        <f t="shared" si="1"/>
        <v>2000</v>
      </c>
      <c r="H6" s="1"/>
      <c r="I6" s="29"/>
      <c r="J6" s="55" t="s">
        <v>50</v>
      </c>
      <c r="N6" s="31">
        <v>3.0</v>
      </c>
      <c r="O6" s="1" t="s">
        <v>67</v>
      </c>
      <c r="P6" s="56">
        <v>1.272177213E9</v>
      </c>
      <c r="Q6" s="56" t="s">
        <v>13</v>
      </c>
      <c r="R6" s="42">
        <v>4000.0</v>
      </c>
      <c r="S6" s="56">
        <v>4000.0</v>
      </c>
      <c r="T6" s="42">
        <f t="shared" si="2"/>
        <v>0</v>
      </c>
      <c r="U6" s="59"/>
      <c r="V6" s="29"/>
      <c r="W6" s="1" t="s">
        <v>50</v>
      </c>
      <c r="X6" s="37"/>
      <c r="Y6" s="37"/>
      <c r="Z6" s="1" t="s">
        <v>50</v>
      </c>
    </row>
    <row r="7">
      <c r="A7" s="31">
        <v>4.0</v>
      </c>
      <c r="B7" s="54" t="s">
        <v>69</v>
      </c>
      <c r="C7" s="1" t="s">
        <v>70</v>
      </c>
      <c r="D7" s="1" t="s">
        <v>6</v>
      </c>
      <c r="E7" s="42">
        <v>4000.0</v>
      </c>
      <c r="F7" s="1">
        <v>4000.0</v>
      </c>
      <c r="G7" s="46">
        <f t="shared" si="1"/>
        <v>0</v>
      </c>
      <c r="H7" s="37"/>
      <c r="I7" s="48"/>
      <c r="J7" s="55" t="s">
        <v>50</v>
      </c>
      <c r="N7" s="31">
        <v>4.0</v>
      </c>
      <c r="O7" s="1" t="s">
        <v>73</v>
      </c>
      <c r="P7" s="1"/>
      <c r="Q7" s="1"/>
      <c r="R7" s="42">
        <v>4000.0</v>
      </c>
      <c r="S7" s="56"/>
      <c r="T7" s="42">
        <f t="shared" si="2"/>
        <v>4000</v>
      </c>
      <c r="U7" s="56"/>
      <c r="V7" s="29"/>
      <c r="W7" s="1" t="s">
        <v>50</v>
      </c>
      <c r="X7" s="37"/>
      <c r="Y7" s="37"/>
      <c r="Z7" s="1" t="s">
        <v>50</v>
      </c>
    </row>
    <row r="8">
      <c r="A8" s="31">
        <v>5.0</v>
      </c>
      <c r="B8" s="54" t="s">
        <v>77</v>
      </c>
      <c r="C8" s="60">
        <v>1.023388401E9</v>
      </c>
      <c r="D8" s="1" t="s">
        <v>13</v>
      </c>
      <c r="E8" s="42">
        <v>4000.0</v>
      </c>
      <c r="F8" s="1">
        <v>4000.0</v>
      </c>
      <c r="G8" s="46">
        <f t="shared" si="1"/>
        <v>0</v>
      </c>
      <c r="H8" s="1"/>
      <c r="I8" s="48"/>
      <c r="J8" s="55" t="s">
        <v>50</v>
      </c>
      <c r="N8" s="31">
        <v>5.0</v>
      </c>
      <c r="O8" s="1" t="s">
        <v>8</v>
      </c>
      <c r="P8" s="37"/>
      <c r="Q8" s="1"/>
      <c r="R8" s="42">
        <v>4000.0</v>
      </c>
      <c r="S8" s="56"/>
      <c r="T8" s="42">
        <f t="shared" si="2"/>
        <v>4000</v>
      </c>
      <c r="U8" s="56" t="s">
        <v>82</v>
      </c>
      <c r="V8" s="29"/>
      <c r="W8" s="1" t="s">
        <v>50</v>
      </c>
      <c r="X8" s="37"/>
      <c r="Y8" s="1" t="s">
        <v>50</v>
      </c>
      <c r="Z8" s="1" t="s">
        <v>50</v>
      </c>
    </row>
    <row r="9">
      <c r="A9" s="31">
        <v>6.0</v>
      </c>
      <c r="B9" s="54" t="s">
        <v>84</v>
      </c>
      <c r="C9" s="1" t="s">
        <v>86</v>
      </c>
      <c r="D9" s="1" t="s">
        <v>6</v>
      </c>
      <c r="E9" s="42">
        <v>4000.0</v>
      </c>
      <c r="F9" s="1">
        <v>4000.0</v>
      </c>
      <c r="G9" s="37"/>
      <c r="H9" s="1"/>
      <c r="I9" s="48"/>
      <c r="J9" s="55" t="s">
        <v>50</v>
      </c>
      <c r="N9" s="37"/>
      <c r="O9" s="37"/>
      <c r="P9" s="37"/>
      <c r="Q9" s="37"/>
      <c r="R9" s="42">
        <v>0.0</v>
      </c>
      <c r="S9" s="61"/>
      <c r="T9" s="42">
        <f t="shared" si="2"/>
        <v>0</v>
      </c>
      <c r="U9" s="37"/>
      <c r="V9" s="29"/>
    </row>
    <row r="10">
      <c r="A10" s="31">
        <v>7.0</v>
      </c>
      <c r="B10" s="54" t="s">
        <v>88</v>
      </c>
      <c r="C10" s="1" t="s">
        <v>89</v>
      </c>
      <c r="D10" s="1" t="s">
        <v>6</v>
      </c>
      <c r="E10" s="42">
        <v>4000.0</v>
      </c>
      <c r="F10" s="1">
        <v>4000.0</v>
      </c>
      <c r="G10" s="42">
        <f t="shared" ref="G10:G40" si="3">E10-F10</f>
        <v>0</v>
      </c>
      <c r="H10" s="1"/>
      <c r="I10" s="29"/>
      <c r="J10" s="55" t="s">
        <v>50</v>
      </c>
      <c r="N10" s="31"/>
      <c r="O10" s="61"/>
      <c r="P10" s="61"/>
      <c r="Q10" s="62"/>
      <c r="R10" s="42">
        <v>0.0</v>
      </c>
      <c r="S10" s="61"/>
      <c r="T10" s="42">
        <f t="shared" si="2"/>
        <v>0</v>
      </c>
      <c r="U10" s="61"/>
      <c r="V10" s="29"/>
    </row>
    <row r="11">
      <c r="A11" s="31"/>
      <c r="B11" s="63" t="s">
        <v>94</v>
      </c>
      <c r="C11" s="59"/>
      <c r="D11" s="56"/>
      <c r="E11" s="42"/>
      <c r="F11" s="1"/>
      <c r="G11" s="46">
        <f t="shared" si="3"/>
        <v>0</v>
      </c>
      <c r="H11" s="37"/>
      <c r="I11" s="29"/>
      <c r="J11" s="55" t="s">
        <v>50</v>
      </c>
      <c r="N11" s="31"/>
      <c r="O11" s="59"/>
      <c r="P11" s="59"/>
      <c r="Q11" s="56"/>
      <c r="R11" s="42">
        <v>0.0</v>
      </c>
      <c r="S11" s="59"/>
      <c r="T11" s="42">
        <f t="shared" si="2"/>
        <v>0</v>
      </c>
      <c r="U11" s="59"/>
      <c r="V11" s="29"/>
    </row>
    <row r="12">
      <c r="A12" s="31"/>
      <c r="B12" s="37"/>
      <c r="C12" s="37"/>
      <c r="D12" s="1"/>
      <c r="E12" s="42"/>
      <c r="F12" s="37"/>
      <c r="G12" s="46">
        <f t="shared" si="3"/>
        <v>0</v>
      </c>
      <c r="H12" s="37"/>
      <c r="I12" s="29"/>
      <c r="N12" s="31"/>
      <c r="O12" s="59"/>
      <c r="P12" s="59"/>
      <c r="Q12" s="56"/>
      <c r="R12" s="42">
        <v>0.0</v>
      </c>
      <c r="S12" s="59"/>
      <c r="T12" s="42">
        <f t="shared" si="2"/>
        <v>0</v>
      </c>
      <c r="U12" s="59"/>
      <c r="V12" s="29"/>
    </row>
    <row r="13">
      <c r="A13" s="31"/>
      <c r="B13" s="37"/>
      <c r="C13" s="37"/>
      <c r="D13" s="1"/>
      <c r="E13" s="42"/>
      <c r="F13" s="37"/>
      <c r="G13" s="46">
        <f t="shared" si="3"/>
        <v>0</v>
      </c>
      <c r="H13" s="37"/>
      <c r="I13" s="29"/>
      <c r="N13" s="31"/>
      <c r="O13" s="59"/>
      <c r="P13" s="59"/>
      <c r="Q13" s="56"/>
      <c r="R13" s="42">
        <v>0.0</v>
      </c>
      <c r="S13" s="59"/>
      <c r="T13" s="42">
        <f t="shared" si="2"/>
        <v>0</v>
      </c>
      <c r="U13" s="59"/>
      <c r="V13" s="29"/>
    </row>
    <row r="14">
      <c r="A14" s="31"/>
      <c r="B14" s="37"/>
      <c r="C14" s="37"/>
      <c r="D14" s="1"/>
      <c r="E14" s="42"/>
      <c r="F14" s="37"/>
      <c r="G14" s="46">
        <f t="shared" si="3"/>
        <v>0</v>
      </c>
      <c r="H14" s="37"/>
      <c r="I14" s="29"/>
      <c r="N14" s="31"/>
      <c r="O14" s="59"/>
      <c r="P14" s="59"/>
      <c r="Q14" s="56"/>
      <c r="R14" s="42">
        <v>0.0</v>
      </c>
      <c r="S14" s="59"/>
      <c r="T14" s="42">
        <f t="shared" si="2"/>
        <v>0</v>
      </c>
      <c r="U14" s="59"/>
      <c r="V14" s="29"/>
    </row>
    <row r="15">
      <c r="A15" s="31"/>
      <c r="B15" s="37"/>
      <c r="C15" s="37"/>
      <c r="D15" s="1"/>
      <c r="E15" s="42"/>
      <c r="F15" s="37"/>
      <c r="G15" s="46">
        <f t="shared" si="3"/>
        <v>0</v>
      </c>
      <c r="H15" s="37"/>
      <c r="I15" s="29"/>
      <c r="N15" s="31"/>
      <c r="O15" s="59"/>
      <c r="P15" s="59"/>
      <c r="Q15" s="56"/>
      <c r="R15" s="42">
        <v>0.0</v>
      </c>
      <c r="S15" s="59"/>
      <c r="T15" s="42">
        <f t="shared" si="2"/>
        <v>0</v>
      </c>
      <c r="U15" s="59"/>
      <c r="V15" s="29"/>
    </row>
    <row r="16">
      <c r="A16" s="31"/>
      <c r="B16" s="37"/>
      <c r="C16" s="37"/>
      <c r="D16" s="1"/>
      <c r="E16" s="42"/>
      <c r="F16" s="37"/>
      <c r="G16" s="46">
        <f t="shared" si="3"/>
        <v>0</v>
      </c>
      <c r="H16" s="37"/>
      <c r="I16" s="29"/>
      <c r="N16" s="31"/>
      <c r="O16" s="59"/>
      <c r="P16" s="59"/>
      <c r="Q16" s="56"/>
      <c r="R16" s="42">
        <v>0.0</v>
      </c>
      <c r="S16" s="59"/>
      <c r="T16" s="42">
        <f t="shared" si="2"/>
        <v>0</v>
      </c>
      <c r="U16" s="59"/>
      <c r="V16" s="29"/>
    </row>
    <row r="17">
      <c r="A17" s="31"/>
      <c r="B17" s="37"/>
      <c r="C17" s="37"/>
      <c r="D17" s="1"/>
      <c r="E17" s="42"/>
      <c r="F17" s="37"/>
      <c r="G17" s="46">
        <f t="shared" si="3"/>
        <v>0</v>
      </c>
      <c r="H17" s="37"/>
      <c r="I17" s="29"/>
      <c r="N17" s="31"/>
      <c r="O17" s="59"/>
      <c r="P17" s="59"/>
      <c r="Q17" s="56"/>
      <c r="R17" s="42">
        <v>0.0</v>
      </c>
      <c r="S17" s="59"/>
      <c r="T17" s="42">
        <f t="shared" si="2"/>
        <v>0</v>
      </c>
      <c r="U17" s="59"/>
      <c r="V17" s="29"/>
    </row>
    <row r="18">
      <c r="A18" s="31"/>
      <c r="B18" s="37"/>
      <c r="C18" s="37"/>
      <c r="D18" s="1"/>
      <c r="E18" s="42"/>
      <c r="F18" s="37"/>
      <c r="G18" s="46">
        <f t="shared" si="3"/>
        <v>0</v>
      </c>
      <c r="H18" s="37"/>
      <c r="I18" s="29"/>
      <c r="N18" s="31"/>
      <c r="O18" s="59"/>
      <c r="P18" s="59"/>
      <c r="Q18" s="56"/>
      <c r="R18" s="42">
        <v>0.0</v>
      </c>
      <c r="S18" s="59"/>
      <c r="T18" s="42">
        <f t="shared" si="2"/>
        <v>0</v>
      </c>
      <c r="U18" s="59"/>
      <c r="V18" s="29"/>
    </row>
    <row r="19">
      <c r="A19" s="31"/>
      <c r="B19" s="37"/>
      <c r="C19" s="37"/>
      <c r="D19" s="1"/>
      <c r="E19" s="42"/>
      <c r="F19" s="37"/>
      <c r="G19" s="46">
        <f t="shared" si="3"/>
        <v>0</v>
      </c>
      <c r="H19" s="37"/>
      <c r="I19" s="29"/>
      <c r="N19" s="31"/>
      <c r="O19" s="59"/>
      <c r="P19" s="59"/>
      <c r="Q19" s="56"/>
      <c r="R19" s="42">
        <v>0.0</v>
      </c>
      <c r="S19" s="59"/>
      <c r="T19" s="42">
        <f t="shared" si="2"/>
        <v>0</v>
      </c>
      <c r="U19" s="59"/>
      <c r="V19" s="29"/>
    </row>
    <row r="20">
      <c r="A20" s="31"/>
      <c r="B20" s="37"/>
      <c r="C20" s="37"/>
      <c r="D20" s="1"/>
      <c r="E20" s="42"/>
      <c r="F20" s="37"/>
      <c r="G20" s="46">
        <f t="shared" si="3"/>
        <v>0</v>
      </c>
      <c r="H20" s="37"/>
      <c r="I20" s="29"/>
      <c r="N20" s="31"/>
      <c r="O20" s="59"/>
      <c r="P20" s="59"/>
      <c r="Q20" s="56"/>
      <c r="R20" s="42">
        <v>0.0</v>
      </c>
      <c r="S20" s="59"/>
      <c r="T20" s="42">
        <f t="shared" si="2"/>
        <v>0</v>
      </c>
      <c r="U20" s="59"/>
      <c r="V20" s="29"/>
    </row>
    <row r="21">
      <c r="A21" s="31"/>
      <c r="B21" s="37"/>
      <c r="C21" s="37"/>
      <c r="D21" s="1"/>
      <c r="E21" s="42"/>
      <c r="F21" s="37"/>
      <c r="G21" s="46">
        <f t="shared" si="3"/>
        <v>0</v>
      </c>
      <c r="H21" s="37"/>
      <c r="I21" s="29"/>
      <c r="N21" s="31"/>
      <c r="O21" s="59"/>
      <c r="P21" s="59"/>
      <c r="Q21" s="56"/>
      <c r="R21" s="42">
        <v>0.0</v>
      </c>
      <c r="S21" s="59"/>
      <c r="T21" s="42">
        <f t="shared" si="2"/>
        <v>0</v>
      </c>
      <c r="U21" s="59"/>
      <c r="V21" s="29"/>
    </row>
    <row r="22">
      <c r="A22" s="31"/>
      <c r="B22" s="37"/>
      <c r="C22" s="37"/>
      <c r="D22" s="1"/>
      <c r="E22" s="42"/>
      <c r="F22" s="37"/>
      <c r="G22" s="46">
        <f t="shared" si="3"/>
        <v>0</v>
      </c>
      <c r="H22" s="37"/>
      <c r="I22" s="29"/>
      <c r="N22" s="31"/>
      <c r="O22" s="59"/>
      <c r="P22" s="59"/>
      <c r="Q22" s="56"/>
      <c r="R22" s="42">
        <v>0.0</v>
      </c>
      <c r="S22" s="59"/>
      <c r="T22" s="42">
        <f t="shared" si="2"/>
        <v>0</v>
      </c>
      <c r="U22" s="59"/>
      <c r="V22" s="29"/>
    </row>
    <row r="23">
      <c r="A23" s="31"/>
      <c r="B23" s="37"/>
      <c r="C23" s="37"/>
      <c r="D23" s="1"/>
      <c r="E23" s="42"/>
      <c r="F23" s="37"/>
      <c r="G23" s="46">
        <f t="shared" si="3"/>
        <v>0</v>
      </c>
      <c r="H23" s="37"/>
      <c r="I23" s="29"/>
      <c r="N23" s="31"/>
      <c r="O23" s="59"/>
      <c r="P23" s="59"/>
      <c r="Q23" s="56"/>
      <c r="R23" s="42">
        <v>0.0</v>
      </c>
      <c r="S23" s="59"/>
      <c r="T23" s="42">
        <f t="shared" si="2"/>
        <v>0</v>
      </c>
      <c r="U23" s="59"/>
      <c r="V23" s="29"/>
    </row>
    <row r="24">
      <c r="A24" s="31">
        <v>21.0</v>
      </c>
      <c r="B24" s="37"/>
      <c r="C24" s="37"/>
      <c r="D24" s="1"/>
      <c r="E24" s="42"/>
      <c r="F24" s="37"/>
      <c r="G24" s="46">
        <f t="shared" si="3"/>
        <v>0</v>
      </c>
      <c r="H24" s="37"/>
      <c r="I24" s="29"/>
      <c r="N24" s="31"/>
      <c r="O24" s="59"/>
      <c r="P24" s="59"/>
      <c r="Q24" s="56"/>
      <c r="R24" s="42">
        <v>0.0</v>
      </c>
      <c r="S24" s="59"/>
      <c r="T24" s="42">
        <f t="shared" si="2"/>
        <v>0</v>
      </c>
      <c r="U24" s="59"/>
      <c r="V24" s="29"/>
    </row>
    <row r="25">
      <c r="A25" s="31">
        <v>22.0</v>
      </c>
      <c r="B25" s="37"/>
      <c r="C25" s="37"/>
      <c r="D25" s="1"/>
      <c r="E25" s="42"/>
      <c r="F25" s="37"/>
      <c r="G25" s="46">
        <f t="shared" si="3"/>
        <v>0</v>
      </c>
      <c r="H25" s="37"/>
      <c r="I25" s="29"/>
      <c r="N25" s="31"/>
      <c r="O25" s="59"/>
      <c r="P25" s="59"/>
      <c r="Q25" s="56"/>
      <c r="R25" s="42">
        <v>0.0</v>
      </c>
      <c r="S25" s="59"/>
      <c r="T25" s="42">
        <f t="shared" si="2"/>
        <v>0</v>
      </c>
      <c r="U25" s="59"/>
      <c r="V25" s="29"/>
    </row>
    <row r="26">
      <c r="A26" s="31">
        <v>23.0</v>
      </c>
      <c r="B26" s="37"/>
      <c r="C26" s="37"/>
      <c r="D26" s="1"/>
      <c r="E26" s="42"/>
      <c r="F26" s="37"/>
      <c r="G26" s="46">
        <f t="shared" si="3"/>
        <v>0</v>
      </c>
      <c r="H26" s="37"/>
      <c r="I26" s="29"/>
      <c r="N26" s="31"/>
      <c r="O26" s="59"/>
      <c r="P26" s="59"/>
      <c r="Q26" s="56"/>
      <c r="R26" s="42">
        <v>0.0</v>
      </c>
      <c r="S26" s="59"/>
      <c r="T26" s="42">
        <f t="shared" si="2"/>
        <v>0</v>
      </c>
      <c r="U26" s="59"/>
      <c r="V26" s="29"/>
    </row>
    <row r="27">
      <c r="A27" s="31">
        <v>24.0</v>
      </c>
      <c r="B27" s="37"/>
      <c r="C27" s="37"/>
      <c r="D27" s="1"/>
      <c r="E27" s="42"/>
      <c r="F27" s="37"/>
      <c r="G27" s="46">
        <f t="shared" si="3"/>
        <v>0</v>
      </c>
      <c r="H27" s="37"/>
      <c r="I27" s="29"/>
      <c r="N27" s="31"/>
      <c r="O27" s="59"/>
      <c r="P27" s="59"/>
      <c r="Q27" s="56"/>
      <c r="R27" s="42">
        <v>0.0</v>
      </c>
      <c r="S27" s="59"/>
      <c r="T27" s="42">
        <f t="shared" si="2"/>
        <v>0</v>
      </c>
      <c r="U27" s="59"/>
      <c r="V27" s="29"/>
    </row>
    <row r="28">
      <c r="A28" s="31">
        <v>25.0</v>
      </c>
      <c r="B28" s="37"/>
      <c r="C28" s="37"/>
      <c r="D28" s="1"/>
      <c r="E28" s="42"/>
      <c r="F28" s="37"/>
      <c r="G28" s="46">
        <f t="shared" si="3"/>
        <v>0</v>
      </c>
      <c r="H28" s="37"/>
      <c r="I28" s="29"/>
      <c r="N28" s="31"/>
      <c r="O28" s="59"/>
      <c r="P28" s="59"/>
      <c r="Q28" s="56"/>
      <c r="R28" s="42">
        <v>0.0</v>
      </c>
      <c r="S28" s="59"/>
      <c r="T28" s="42">
        <f t="shared" si="2"/>
        <v>0</v>
      </c>
      <c r="U28" s="59"/>
      <c r="V28" s="29"/>
    </row>
    <row r="29">
      <c r="A29" s="31">
        <v>26.0</v>
      </c>
      <c r="B29" s="37"/>
      <c r="C29" s="37"/>
      <c r="D29" s="1"/>
      <c r="E29" s="42"/>
      <c r="F29" s="37"/>
      <c r="G29" s="46">
        <f t="shared" si="3"/>
        <v>0</v>
      </c>
      <c r="H29" s="37"/>
      <c r="I29" s="29"/>
      <c r="N29" s="31"/>
      <c r="O29" s="59"/>
      <c r="P29" s="59"/>
      <c r="Q29" s="56"/>
      <c r="R29" s="42">
        <v>0.0</v>
      </c>
      <c r="S29" s="59"/>
      <c r="T29" s="42">
        <f t="shared" si="2"/>
        <v>0</v>
      </c>
      <c r="U29" s="59"/>
      <c r="V29" s="29"/>
    </row>
    <row r="30">
      <c r="A30" s="31">
        <v>27.0</v>
      </c>
      <c r="B30" s="37"/>
      <c r="C30" s="37"/>
      <c r="D30" s="1"/>
      <c r="E30" s="42"/>
      <c r="F30" s="37"/>
      <c r="G30" s="46">
        <f t="shared" si="3"/>
        <v>0</v>
      </c>
      <c r="H30" s="37"/>
      <c r="I30" s="29"/>
      <c r="N30" s="31"/>
      <c r="O30" s="59"/>
      <c r="P30" s="59"/>
      <c r="Q30" s="56"/>
      <c r="R30" s="42">
        <v>0.0</v>
      </c>
      <c r="S30" s="59"/>
      <c r="T30" s="42">
        <f t="shared" si="2"/>
        <v>0</v>
      </c>
      <c r="U30" s="59"/>
      <c r="V30" s="29"/>
    </row>
    <row r="31">
      <c r="A31" s="31">
        <v>28.0</v>
      </c>
      <c r="B31" s="37"/>
      <c r="C31" s="37"/>
      <c r="D31" s="1"/>
      <c r="E31" s="42"/>
      <c r="F31" s="37"/>
      <c r="G31" s="46">
        <f t="shared" si="3"/>
        <v>0</v>
      </c>
      <c r="H31" s="37"/>
      <c r="I31" s="29"/>
      <c r="N31" s="31"/>
      <c r="O31" s="59"/>
      <c r="P31" s="59"/>
      <c r="Q31" s="56"/>
      <c r="R31" s="42">
        <v>0.0</v>
      </c>
      <c r="S31" s="59"/>
      <c r="T31" s="42">
        <f t="shared" si="2"/>
        <v>0</v>
      </c>
      <c r="U31" s="59"/>
      <c r="V31" s="29"/>
    </row>
    <row r="32">
      <c r="A32" s="31">
        <v>29.0</v>
      </c>
      <c r="B32" s="37"/>
      <c r="C32" s="37"/>
      <c r="D32" s="1"/>
      <c r="E32" s="42"/>
      <c r="F32" s="37"/>
      <c r="G32" s="46">
        <f t="shared" si="3"/>
        <v>0</v>
      </c>
      <c r="H32" s="37"/>
      <c r="I32" s="29"/>
      <c r="N32" s="31"/>
      <c r="O32" s="59"/>
      <c r="P32" s="59"/>
      <c r="Q32" s="56"/>
      <c r="R32" s="42">
        <v>0.0</v>
      </c>
      <c r="S32" s="59"/>
      <c r="T32" s="42">
        <f t="shared" si="2"/>
        <v>0</v>
      </c>
      <c r="U32" s="59"/>
      <c r="V32" s="29"/>
    </row>
    <row r="33">
      <c r="A33" s="31">
        <v>30.0</v>
      </c>
      <c r="B33" s="37"/>
      <c r="C33" s="37"/>
      <c r="D33" s="1"/>
      <c r="E33" s="42"/>
      <c r="F33" s="37"/>
      <c r="G33" s="46">
        <f t="shared" si="3"/>
        <v>0</v>
      </c>
      <c r="H33" s="37"/>
      <c r="I33" s="29"/>
      <c r="N33" s="31"/>
      <c r="O33" s="59"/>
      <c r="P33" s="59"/>
      <c r="Q33" s="56"/>
      <c r="R33" s="42">
        <v>0.0</v>
      </c>
      <c r="S33" s="59"/>
      <c r="T33" s="42">
        <f t="shared" si="2"/>
        <v>0</v>
      </c>
      <c r="U33" s="59"/>
      <c r="V33" s="29"/>
    </row>
    <row r="34">
      <c r="A34" s="31">
        <v>31.0</v>
      </c>
      <c r="B34" s="37"/>
      <c r="C34" s="37"/>
      <c r="D34" s="1"/>
      <c r="E34" s="42"/>
      <c r="F34" s="37"/>
      <c r="G34" s="46">
        <f t="shared" si="3"/>
        <v>0</v>
      </c>
      <c r="H34" s="37"/>
      <c r="I34" s="29"/>
      <c r="N34" s="31"/>
      <c r="O34" s="59"/>
      <c r="P34" s="59"/>
      <c r="Q34" s="56"/>
      <c r="R34" s="42">
        <v>0.0</v>
      </c>
      <c r="S34" s="59"/>
      <c r="T34" s="42">
        <f t="shared" si="2"/>
        <v>0</v>
      </c>
      <c r="U34" s="59"/>
      <c r="V34" s="29"/>
    </row>
    <row r="35">
      <c r="A35" s="31">
        <v>32.0</v>
      </c>
      <c r="B35" s="37"/>
      <c r="C35" s="37"/>
      <c r="D35" s="1"/>
      <c r="E35" s="42"/>
      <c r="F35" s="37"/>
      <c r="G35" s="46">
        <f t="shared" si="3"/>
        <v>0</v>
      </c>
      <c r="H35" s="37"/>
      <c r="I35" s="29"/>
      <c r="N35" s="31"/>
      <c r="O35" s="59"/>
      <c r="P35" s="59"/>
      <c r="Q35" s="56"/>
      <c r="R35" s="42">
        <v>0.0</v>
      </c>
      <c r="S35" s="59"/>
      <c r="T35" s="42">
        <f t="shared" si="2"/>
        <v>0</v>
      </c>
      <c r="U35" s="59"/>
      <c r="V35" s="29"/>
    </row>
    <row r="36">
      <c r="A36" s="31">
        <v>33.0</v>
      </c>
      <c r="B36" s="37"/>
      <c r="C36" s="37"/>
      <c r="D36" s="1"/>
      <c r="E36" s="42"/>
      <c r="F36" s="37"/>
      <c r="G36" s="46">
        <f t="shared" si="3"/>
        <v>0</v>
      </c>
      <c r="H36" s="37"/>
      <c r="I36" s="29"/>
      <c r="N36" s="31"/>
      <c r="O36" s="59"/>
      <c r="P36" s="59"/>
      <c r="Q36" s="56"/>
      <c r="R36" s="42">
        <v>0.0</v>
      </c>
      <c r="S36" s="59"/>
      <c r="T36" s="42">
        <f t="shared" si="2"/>
        <v>0</v>
      </c>
      <c r="U36" s="59"/>
      <c r="V36" s="29"/>
    </row>
    <row r="37">
      <c r="A37" s="31">
        <v>34.0</v>
      </c>
      <c r="B37" s="37"/>
      <c r="C37" s="37"/>
      <c r="D37" s="1"/>
      <c r="E37" s="42"/>
      <c r="F37" s="37"/>
      <c r="G37" s="46">
        <f t="shared" si="3"/>
        <v>0</v>
      </c>
      <c r="H37" s="37"/>
      <c r="I37" s="29"/>
      <c r="N37" s="31"/>
      <c r="O37" s="59"/>
      <c r="P37" s="59"/>
      <c r="Q37" s="56"/>
      <c r="R37" s="42">
        <v>0.0</v>
      </c>
      <c r="S37" s="59"/>
      <c r="T37" s="42">
        <f t="shared" si="2"/>
        <v>0</v>
      </c>
      <c r="U37" s="59"/>
      <c r="V37" s="29"/>
    </row>
    <row r="38">
      <c r="A38" s="31">
        <v>35.0</v>
      </c>
      <c r="B38" s="37"/>
      <c r="C38" s="37"/>
      <c r="D38" s="1"/>
      <c r="E38" s="42"/>
      <c r="F38" s="37"/>
      <c r="G38" s="46">
        <f t="shared" si="3"/>
        <v>0</v>
      </c>
      <c r="H38" s="37"/>
      <c r="I38" s="29"/>
      <c r="N38" s="31"/>
      <c r="O38" s="59"/>
      <c r="P38" s="59"/>
      <c r="Q38" s="56"/>
      <c r="R38" s="42">
        <v>0.0</v>
      </c>
      <c r="S38" s="59"/>
      <c r="T38" s="42">
        <f t="shared" si="2"/>
        <v>0</v>
      </c>
      <c r="U38" s="59"/>
      <c r="V38" s="29"/>
    </row>
    <row r="39">
      <c r="A39" s="31">
        <v>36.0</v>
      </c>
      <c r="B39" s="37"/>
      <c r="C39" s="37"/>
      <c r="D39" s="1"/>
      <c r="E39" s="42"/>
      <c r="F39" s="37"/>
      <c r="G39" s="46">
        <f t="shared" si="3"/>
        <v>0</v>
      </c>
      <c r="H39" s="37"/>
      <c r="I39" s="29"/>
      <c r="N39" s="31"/>
      <c r="O39" s="59"/>
      <c r="P39" s="59"/>
      <c r="Q39" s="56"/>
      <c r="R39" s="42">
        <v>0.0</v>
      </c>
      <c r="S39" s="59"/>
      <c r="T39" s="42">
        <f t="shared" si="2"/>
        <v>0</v>
      </c>
      <c r="U39" s="59"/>
      <c r="V39" s="29"/>
    </row>
    <row r="40">
      <c r="A40" s="31">
        <v>37.0</v>
      </c>
      <c r="B40" s="37"/>
      <c r="C40" s="37"/>
      <c r="D40" s="1"/>
      <c r="E40" s="42"/>
      <c r="F40" s="37"/>
      <c r="G40" s="46">
        <f t="shared" si="3"/>
        <v>0</v>
      </c>
      <c r="H40" s="37"/>
      <c r="I40" s="29"/>
      <c r="N40" s="31"/>
      <c r="O40" s="59"/>
      <c r="P40" s="59"/>
      <c r="Q40" s="56"/>
      <c r="R40" s="42">
        <v>0.0</v>
      </c>
      <c r="S40" s="59"/>
      <c r="T40" s="42">
        <f t="shared" si="2"/>
        <v>0</v>
      </c>
      <c r="U40" s="59"/>
      <c r="V40" s="29"/>
    </row>
    <row r="41">
      <c r="A41" s="1" t="s">
        <v>28</v>
      </c>
      <c r="B41" s="40">
        <f>countif(B4:B40,"*")</f>
        <v>8</v>
      </c>
      <c r="C41" s="37"/>
      <c r="D41" s="37"/>
      <c r="E41" s="42"/>
      <c r="F41" s="37"/>
      <c r="G41" s="37"/>
      <c r="H41" s="37"/>
      <c r="I41" s="37"/>
      <c r="J41" s="37"/>
      <c r="K41" s="37"/>
      <c r="L41" s="37"/>
      <c r="M41" s="37"/>
      <c r="N41" s="62" t="s">
        <v>28</v>
      </c>
      <c r="O41" s="40">
        <f>countif(O4:O40,"*")</f>
        <v>5</v>
      </c>
      <c r="P41" s="61"/>
      <c r="Q41" s="61"/>
      <c r="R41" s="42"/>
      <c r="S41" s="61"/>
      <c r="T41" s="42"/>
      <c r="U41" s="61"/>
      <c r="V41" s="37"/>
    </row>
    <row r="42">
      <c r="D42" s="71"/>
      <c r="E42" s="73"/>
      <c r="N42" s="74"/>
      <c r="O42" s="74"/>
      <c r="P42" s="74"/>
      <c r="Q42" s="74"/>
      <c r="R42" s="73"/>
      <c r="S42" s="74"/>
      <c r="T42" s="73"/>
      <c r="U42" s="74"/>
    </row>
    <row r="43">
      <c r="D43" s="71"/>
      <c r="E43" s="73"/>
      <c r="N43" s="74"/>
      <c r="O43" s="74"/>
      <c r="P43" s="74"/>
      <c r="Q43" s="74"/>
      <c r="R43" s="73"/>
      <c r="S43" s="74"/>
      <c r="T43" s="73"/>
      <c r="U43" s="74"/>
    </row>
    <row r="44">
      <c r="D44" s="71"/>
      <c r="E44" s="73"/>
      <c r="N44" s="74"/>
      <c r="O44" s="74"/>
      <c r="P44" s="74"/>
      <c r="Q44" s="74"/>
      <c r="R44" s="73"/>
      <c r="S44" s="74"/>
      <c r="T44" s="73"/>
      <c r="U44" s="74"/>
    </row>
    <row r="45">
      <c r="D45" s="71"/>
      <c r="E45" s="73"/>
      <c r="N45" s="74"/>
      <c r="O45" s="74"/>
      <c r="P45" s="74"/>
      <c r="Q45" s="74"/>
      <c r="R45" s="73"/>
      <c r="S45" s="74"/>
      <c r="T45" s="73"/>
      <c r="U45" s="74"/>
    </row>
    <row r="46">
      <c r="D46" s="71"/>
      <c r="E46" s="73"/>
      <c r="N46" s="74"/>
      <c r="O46" s="74"/>
      <c r="P46" s="74"/>
      <c r="Q46" s="74"/>
      <c r="R46" s="73"/>
      <c r="S46" s="74"/>
      <c r="T46" s="73"/>
      <c r="U46" s="74"/>
    </row>
    <row r="47">
      <c r="D47" s="71"/>
      <c r="E47" s="73"/>
      <c r="N47" s="74"/>
      <c r="O47" s="74"/>
      <c r="P47" s="74"/>
      <c r="Q47" s="74"/>
      <c r="R47" s="73"/>
      <c r="S47" s="74"/>
      <c r="T47" s="73"/>
      <c r="U47" s="74"/>
    </row>
    <row r="48">
      <c r="D48" s="71"/>
      <c r="E48" s="73"/>
      <c r="N48" s="74"/>
      <c r="O48" s="74"/>
      <c r="P48" s="74"/>
      <c r="Q48" s="74"/>
      <c r="R48" s="73"/>
      <c r="S48" s="74"/>
      <c r="T48" s="73"/>
      <c r="U48" s="74"/>
    </row>
    <row r="49">
      <c r="D49" s="71"/>
      <c r="E49" s="73"/>
      <c r="N49" s="74"/>
      <c r="O49" s="74"/>
      <c r="P49" s="74"/>
      <c r="Q49" s="74"/>
      <c r="R49" s="73"/>
      <c r="S49" s="74"/>
      <c r="T49" s="73"/>
      <c r="U49" s="74"/>
    </row>
    <row r="50">
      <c r="D50" s="71"/>
      <c r="E50" s="73"/>
      <c r="N50" s="74"/>
      <c r="O50" s="74"/>
      <c r="P50" s="74"/>
      <c r="Q50" s="74"/>
      <c r="R50" s="73"/>
      <c r="S50" s="74"/>
      <c r="T50" s="73"/>
      <c r="U50" s="74"/>
    </row>
    <row r="51">
      <c r="D51" s="71"/>
      <c r="E51" s="73"/>
      <c r="N51" s="74"/>
      <c r="O51" s="74"/>
      <c r="P51" s="74"/>
      <c r="Q51" s="74"/>
      <c r="R51" s="73"/>
      <c r="S51" s="74"/>
      <c r="T51" s="73"/>
      <c r="U51" s="74"/>
    </row>
    <row r="52">
      <c r="D52" s="71"/>
      <c r="E52" s="73"/>
      <c r="N52" s="74"/>
      <c r="O52" s="74"/>
      <c r="P52" s="74"/>
      <c r="Q52" s="74"/>
      <c r="R52" s="73"/>
      <c r="S52" s="74"/>
      <c r="T52" s="73"/>
      <c r="U52" s="74"/>
    </row>
    <row r="53">
      <c r="D53" s="71"/>
      <c r="E53" s="73"/>
      <c r="N53" s="74"/>
      <c r="O53" s="74"/>
      <c r="P53" s="74"/>
      <c r="Q53" s="74"/>
      <c r="R53" s="73"/>
      <c r="S53" s="74"/>
      <c r="T53" s="73"/>
      <c r="U53" s="74"/>
    </row>
    <row r="54">
      <c r="D54" s="71"/>
      <c r="E54" s="73"/>
      <c r="N54" s="74"/>
      <c r="O54" s="74"/>
      <c r="P54" s="74"/>
      <c r="Q54" s="74"/>
      <c r="R54" s="73"/>
      <c r="S54" s="74"/>
      <c r="T54" s="73"/>
      <c r="U54" s="74"/>
    </row>
    <row r="55">
      <c r="D55" s="71"/>
      <c r="E55" s="73"/>
      <c r="N55" s="74"/>
      <c r="O55" s="74"/>
      <c r="P55" s="74"/>
      <c r="Q55" s="74"/>
      <c r="R55" s="73"/>
      <c r="S55" s="74"/>
      <c r="T55" s="73"/>
      <c r="U55" s="74"/>
    </row>
    <row r="56">
      <c r="D56" s="71"/>
      <c r="E56" s="73"/>
      <c r="N56" s="74"/>
      <c r="O56" s="74"/>
      <c r="P56" s="74"/>
      <c r="Q56" s="74"/>
      <c r="R56" s="73"/>
      <c r="S56" s="74"/>
      <c r="T56" s="73"/>
      <c r="U56" s="74"/>
    </row>
    <row r="57">
      <c r="D57" s="71"/>
      <c r="E57" s="73"/>
      <c r="N57" s="74"/>
      <c r="O57" s="74"/>
      <c r="P57" s="74"/>
      <c r="Q57" s="74"/>
      <c r="R57" s="73"/>
      <c r="S57" s="74"/>
      <c r="T57" s="73"/>
      <c r="U57" s="74"/>
    </row>
    <row r="58">
      <c r="D58" s="71"/>
      <c r="E58" s="73"/>
      <c r="N58" s="74"/>
      <c r="O58" s="74"/>
      <c r="P58" s="74"/>
      <c r="Q58" s="74"/>
      <c r="R58" s="73"/>
      <c r="S58" s="74"/>
      <c r="T58" s="73"/>
      <c r="U58" s="74"/>
    </row>
    <row r="59">
      <c r="D59" s="71"/>
      <c r="E59" s="73"/>
      <c r="N59" s="74"/>
      <c r="O59" s="74"/>
      <c r="P59" s="74"/>
      <c r="Q59" s="74"/>
      <c r="R59" s="73"/>
      <c r="S59" s="74"/>
      <c r="T59" s="73"/>
      <c r="U59" s="74"/>
    </row>
    <row r="60">
      <c r="D60" s="71"/>
      <c r="E60" s="73"/>
      <c r="N60" s="74"/>
      <c r="O60" s="74"/>
      <c r="P60" s="74"/>
      <c r="Q60" s="74"/>
      <c r="R60" s="73"/>
      <c r="S60" s="74"/>
      <c r="T60" s="73"/>
      <c r="U60" s="74"/>
    </row>
    <row r="61">
      <c r="D61" s="71"/>
      <c r="E61" s="73"/>
      <c r="N61" s="74"/>
      <c r="O61" s="74"/>
      <c r="P61" s="74"/>
      <c r="Q61" s="74"/>
      <c r="R61" s="73"/>
      <c r="S61" s="74"/>
      <c r="T61" s="73"/>
      <c r="U61" s="74"/>
    </row>
    <row r="62">
      <c r="D62" s="71"/>
      <c r="E62" s="73"/>
      <c r="N62" s="74"/>
      <c r="O62" s="74"/>
      <c r="P62" s="74"/>
      <c r="Q62" s="74"/>
      <c r="R62" s="73"/>
      <c r="S62" s="74"/>
      <c r="T62" s="73"/>
      <c r="U62" s="74"/>
    </row>
    <row r="63">
      <c r="D63" s="71"/>
      <c r="E63" s="73"/>
      <c r="N63" s="74"/>
      <c r="O63" s="74"/>
      <c r="P63" s="74"/>
      <c r="Q63" s="74"/>
      <c r="R63" s="73"/>
      <c r="S63" s="74"/>
      <c r="T63" s="73"/>
      <c r="U63" s="74"/>
    </row>
    <row r="64">
      <c r="D64" s="71"/>
      <c r="E64" s="73"/>
      <c r="N64" s="74"/>
      <c r="O64" s="74"/>
      <c r="P64" s="74"/>
      <c r="Q64" s="74"/>
      <c r="R64" s="73"/>
      <c r="S64" s="74"/>
      <c r="T64" s="73"/>
      <c r="U64" s="74"/>
    </row>
    <row r="65">
      <c r="D65" s="71"/>
      <c r="E65" s="73"/>
      <c r="N65" s="74"/>
      <c r="O65" s="74"/>
      <c r="P65" s="74"/>
      <c r="Q65" s="74"/>
      <c r="R65" s="73"/>
      <c r="S65" s="74"/>
      <c r="T65" s="73"/>
      <c r="U65" s="74"/>
    </row>
    <row r="66">
      <c r="D66" s="71"/>
      <c r="E66" s="73"/>
      <c r="N66" s="74"/>
      <c r="O66" s="74"/>
      <c r="P66" s="74"/>
      <c r="Q66" s="74"/>
      <c r="R66" s="73"/>
      <c r="S66" s="74"/>
      <c r="T66" s="73"/>
      <c r="U66" s="74"/>
    </row>
    <row r="67">
      <c r="D67" s="71"/>
      <c r="E67" s="73"/>
      <c r="N67" s="74"/>
      <c r="O67" s="74"/>
      <c r="P67" s="74"/>
      <c r="Q67" s="74"/>
      <c r="R67" s="73"/>
      <c r="S67" s="74"/>
      <c r="T67" s="73"/>
      <c r="U67" s="74"/>
    </row>
    <row r="68">
      <c r="D68" s="71"/>
      <c r="E68" s="73"/>
      <c r="N68" s="74"/>
      <c r="O68" s="74"/>
      <c r="P68" s="74"/>
      <c r="Q68" s="74"/>
      <c r="R68" s="73"/>
      <c r="S68" s="74"/>
      <c r="T68" s="73"/>
      <c r="U68" s="74"/>
    </row>
    <row r="69">
      <c r="D69" s="71"/>
      <c r="E69" s="73"/>
      <c r="N69" s="74"/>
      <c r="O69" s="74"/>
      <c r="P69" s="74"/>
      <c r="Q69" s="74"/>
      <c r="R69" s="73"/>
      <c r="S69" s="74"/>
      <c r="T69" s="73"/>
      <c r="U69" s="74"/>
    </row>
    <row r="70">
      <c r="D70" s="71"/>
      <c r="E70" s="73"/>
      <c r="N70" s="74"/>
      <c r="O70" s="74"/>
      <c r="P70" s="74"/>
      <c r="Q70" s="74"/>
      <c r="R70" s="73"/>
      <c r="S70" s="74"/>
      <c r="T70" s="73"/>
      <c r="U70" s="74"/>
    </row>
    <row r="71">
      <c r="D71" s="71"/>
      <c r="E71" s="73"/>
      <c r="N71" s="74"/>
      <c r="O71" s="74"/>
      <c r="P71" s="74"/>
      <c r="Q71" s="74"/>
      <c r="R71" s="73"/>
      <c r="S71" s="74"/>
      <c r="T71" s="73"/>
      <c r="U71" s="74"/>
    </row>
    <row r="72">
      <c r="D72" s="71"/>
      <c r="E72" s="73"/>
      <c r="N72" s="74"/>
      <c r="O72" s="74"/>
      <c r="P72" s="74"/>
      <c r="Q72" s="74"/>
      <c r="R72" s="73"/>
      <c r="S72" s="74"/>
      <c r="T72" s="73"/>
      <c r="U72" s="74"/>
    </row>
    <row r="73">
      <c r="D73" s="71"/>
      <c r="E73" s="73"/>
      <c r="N73" s="74"/>
      <c r="O73" s="74"/>
      <c r="P73" s="74"/>
      <c r="Q73" s="74"/>
      <c r="R73" s="73"/>
      <c r="S73" s="74"/>
      <c r="T73" s="73"/>
      <c r="U73" s="74"/>
    </row>
    <row r="74">
      <c r="D74" s="71"/>
      <c r="E74" s="73"/>
      <c r="N74" s="74"/>
      <c r="O74" s="74"/>
      <c r="P74" s="74"/>
      <c r="Q74" s="74"/>
      <c r="R74" s="73"/>
      <c r="S74" s="74"/>
      <c r="T74" s="73"/>
      <c r="U74" s="74"/>
    </row>
    <row r="75">
      <c r="D75" s="71"/>
      <c r="E75" s="73"/>
      <c r="N75" s="74"/>
      <c r="O75" s="74"/>
      <c r="P75" s="74"/>
      <c r="Q75" s="74"/>
      <c r="R75" s="73"/>
      <c r="S75" s="74"/>
      <c r="T75" s="73"/>
      <c r="U75" s="74"/>
    </row>
    <row r="76">
      <c r="D76" s="71"/>
      <c r="E76" s="73"/>
      <c r="N76" s="74"/>
      <c r="O76" s="74"/>
      <c r="P76" s="74"/>
      <c r="Q76" s="74"/>
      <c r="R76" s="73"/>
      <c r="S76" s="74"/>
      <c r="T76" s="73"/>
      <c r="U76" s="74"/>
    </row>
    <row r="77">
      <c r="D77" s="71"/>
      <c r="E77" s="73"/>
      <c r="N77" s="74"/>
      <c r="O77" s="74"/>
      <c r="P77" s="74"/>
      <c r="Q77" s="74"/>
      <c r="R77" s="73"/>
      <c r="S77" s="74"/>
      <c r="T77" s="73"/>
      <c r="U77" s="74"/>
    </row>
    <row r="78">
      <c r="D78" s="71"/>
      <c r="E78" s="73"/>
      <c r="N78" s="74"/>
      <c r="O78" s="74"/>
      <c r="P78" s="74"/>
      <c r="Q78" s="74"/>
      <c r="R78" s="73"/>
      <c r="S78" s="74"/>
      <c r="T78" s="73"/>
      <c r="U78" s="74"/>
    </row>
    <row r="79">
      <c r="D79" s="71"/>
      <c r="E79" s="73"/>
      <c r="N79" s="74"/>
      <c r="O79" s="74"/>
      <c r="P79" s="74"/>
      <c r="Q79" s="74"/>
      <c r="R79" s="73"/>
      <c r="S79" s="74"/>
      <c r="T79" s="73"/>
      <c r="U79" s="74"/>
    </row>
    <row r="80">
      <c r="D80" s="71"/>
      <c r="E80" s="73"/>
      <c r="N80" s="74"/>
      <c r="O80" s="74"/>
      <c r="P80" s="74"/>
      <c r="Q80" s="74"/>
      <c r="R80" s="73"/>
      <c r="S80" s="74"/>
      <c r="T80" s="73"/>
      <c r="U80" s="74"/>
    </row>
    <row r="81">
      <c r="D81" s="71"/>
      <c r="E81" s="73"/>
      <c r="N81" s="74"/>
      <c r="O81" s="74"/>
      <c r="P81" s="74"/>
      <c r="Q81" s="74"/>
      <c r="R81" s="73"/>
      <c r="S81" s="74"/>
      <c r="T81" s="73"/>
      <c r="U81" s="74"/>
    </row>
    <row r="82">
      <c r="D82" s="71"/>
      <c r="E82" s="73"/>
      <c r="N82" s="74"/>
      <c r="O82" s="74"/>
      <c r="P82" s="74"/>
      <c r="Q82" s="74"/>
      <c r="R82" s="73"/>
      <c r="S82" s="74"/>
      <c r="T82" s="73"/>
      <c r="U82" s="74"/>
    </row>
    <row r="83">
      <c r="D83" s="71"/>
      <c r="E83" s="73"/>
      <c r="N83" s="74"/>
      <c r="O83" s="74"/>
      <c r="P83" s="74"/>
      <c r="Q83" s="74"/>
      <c r="R83" s="73"/>
      <c r="S83" s="74"/>
      <c r="T83" s="73"/>
      <c r="U83" s="74"/>
    </row>
    <row r="84">
      <c r="D84" s="71"/>
      <c r="E84" s="73"/>
      <c r="N84" s="74"/>
      <c r="O84" s="74"/>
      <c r="P84" s="74"/>
      <c r="Q84" s="74"/>
      <c r="R84" s="73"/>
      <c r="S84" s="74"/>
      <c r="T84" s="73"/>
      <c r="U84" s="74"/>
    </row>
    <row r="85">
      <c r="D85" s="71"/>
      <c r="E85" s="73"/>
      <c r="N85" s="74"/>
      <c r="O85" s="74"/>
      <c r="P85" s="74"/>
      <c r="Q85" s="74"/>
      <c r="R85" s="73"/>
      <c r="S85" s="74"/>
      <c r="T85" s="73"/>
      <c r="U85" s="74"/>
    </row>
    <row r="86">
      <c r="D86" s="71"/>
      <c r="E86" s="73"/>
      <c r="N86" s="74"/>
      <c r="O86" s="74"/>
      <c r="P86" s="74"/>
      <c r="Q86" s="74"/>
      <c r="R86" s="73"/>
      <c r="S86" s="74"/>
      <c r="T86" s="73"/>
      <c r="U86" s="74"/>
    </row>
    <row r="87">
      <c r="D87" s="71"/>
      <c r="E87" s="73"/>
      <c r="N87" s="74"/>
      <c r="O87" s="74"/>
      <c r="P87" s="74"/>
      <c r="Q87" s="74"/>
      <c r="R87" s="73"/>
      <c r="S87" s="74"/>
      <c r="T87" s="73"/>
      <c r="U87" s="74"/>
    </row>
    <row r="88">
      <c r="D88" s="71"/>
      <c r="E88" s="73"/>
      <c r="N88" s="74"/>
      <c r="O88" s="74"/>
      <c r="P88" s="74"/>
      <c r="Q88" s="74"/>
      <c r="R88" s="73"/>
      <c r="S88" s="74"/>
      <c r="T88" s="73"/>
      <c r="U88" s="74"/>
    </row>
    <row r="89">
      <c r="D89" s="71"/>
      <c r="E89" s="73"/>
      <c r="N89" s="74"/>
      <c r="O89" s="74"/>
      <c r="P89" s="74"/>
      <c r="Q89" s="74"/>
      <c r="R89" s="73"/>
      <c r="S89" s="74"/>
      <c r="T89" s="73"/>
      <c r="U89" s="74"/>
    </row>
    <row r="90">
      <c r="D90" s="71"/>
      <c r="E90" s="73"/>
      <c r="N90" s="74"/>
      <c r="O90" s="74"/>
      <c r="P90" s="74"/>
      <c r="Q90" s="74"/>
      <c r="R90" s="73"/>
      <c r="S90" s="74"/>
      <c r="T90" s="73"/>
      <c r="U90" s="74"/>
    </row>
    <row r="91">
      <c r="D91" s="71"/>
      <c r="E91" s="73"/>
      <c r="N91" s="74"/>
      <c r="O91" s="74"/>
      <c r="P91" s="74"/>
      <c r="Q91" s="74"/>
      <c r="R91" s="73"/>
      <c r="S91" s="74"/>
      <c r="T91" s="73"/>
      <c r="U91" s="74"/>
    </row>
    <row r="92">
      <c r="D92" s="71"/>
      <c r="E92" s="73"/>
      <c r="N92" s="74"/>
      <c r="O92" s="74"/>
      <c r="P92" s="74"/>
      <c r="Q92" s="74"/>
      <c r="R92" s="73"/>
      <c r="S92" s="74"/>
      <c r="T92" s="73"/>
      <c r="U92" s="74"/>
    </row>
    <row r="93">
      <c r="D93" s="71"/>
      <c r="E93" s="73"/>
      <c r="N93" s="74"/>
      <c r="O93" s="74"/>
      <c r="P93" s="74"/>
      <c r="Q93" s="74"/>
      <c r="R93" s="73"/>
      <c r="S93" s="74"/>
      <c r="T93" s="73"/>
      <c r="U93" s="74"/>
    </row>
    <row r="94">
      <c r="D94" s="71"/>
      <c r="E94" s="73"/>
      <c r="N94" s="74"/>
      <c r="O94" s="74"/>
      <c r="P94" s="74"/>
      <c r="Q94" s="74"/>
      <c r="R94" s="73"/>
      <c r="S94" s="74"/>
      <c r="T94" s="73"/>
      <c r="U94" s="74"/>
    </row>
    <row r="95">
      <c r="D95" s="71"/>
      <c r="E95" s="73"/>
      <c r="N95" s="74"/>
      <c r="O95" s="74"/>
      <c r="P95" s="74"/>
      <c r="Q95" s="74"/>
      <c r="R95" s="73"/>
      <c r="S95" s="74"/>
      <c r="T95" s="73"/>
      <c r="U95" s="74"/>
    </row>
    <row r="96">
      <c r="D96" s="71"/>
      <c r="E96" s="73"/>
      <c r="N96" s="74"/>
      <c r="O96" s="74"/>
      <c r="P96" s="74"/>
      <c r="Q96" s="74"/>
      <c r="R96" s="73"/>
      <c r="S96" s="74"/>
      <c r="T96" s="73"/>
      <c r="U96" s="74"/>
    </row>
    <row r="97">
      <c r="D97" s="71"/>
      <c r="E97" s="73"/>
      <c r="N97" s="74"/>
      <c r="O97" s="74"/>
      <c r="P97" s="74"/>
      <c r="Q97" s="74"/>
      <c r="R97" s="73"/>
      <c r="S97" s="74"/>
      <c r="T97" s="73"/>
      <c r="U97" s="74"/>
    </row>
    <row r="98">
      <c r="D98" s="71"/>
      <c r="E98" s="73"/>
      <c r="N98" s="74"/>
      <c r="O98" s="74"/>
      <c r="P98" s="74"/>
      <c r="Q98" s="74"/>
      <c r="R98" s="73"/>
      <c r="S98" s="74"/>
      <c r="T98" s="73"/>
      <c r="U98" s="74"/>
    </row>
    <row r="99">
      <c r="D99" s="71"/>
      <c r="E99" s="73"/>
      <c r="N99" s="74"/>
      <c r="O99" s="74"/>
      <c r="P99" s="74"/>
      <c r="Q99" s="74"/>
      <c r="R99" s="73"/>
      <c r="S99" s="74"/>
      <c r="T99" s="73"/>
      <c r="U99" s="74"/>
    </row>
    <row r="100">
      <c r="D100" s="71"/>
      <c r="E100" s="73"/>
      <c r="N100" s="74"/>
      <c r="O100" s="74"/>
      <c r="P100" s="74"/>
      <c r="Q100" s="74"/>
      <c r="R100" s="73"/>
      <c r="S100" s="74"/>
      <c r="T100" s="73"/>
      <c r="U100" s="74"/>
    </row>
    <row r="101">
      <c r="D101" s="71"/>
      <c r="E101" s="73"/>
      <c r="N101" s="74"/>
      <c r="O101" s="74"/>
      <c r="P101" s="74"/>
      <c r="Q101" s="74"/>
      <c r="R101" s="73"/>
      <c r="S101" s="74"/>
      <c r="T101" s="73"/>
      <c r="U101" s="74"/>
    </row>
    <row r="102">
      <c r="D102" s="71"/>
      <c r="E102" s="73"/>
      <c r="N102" s="74"/>
      <c r="O102" s="74"/>
      <c r="P102" s="74"/>
      <c r="Q102" s="74"/>
      <c r="R102" s="73"/>
      <c r="S102" s="74"/>
      <c r="T102" s="73"/>
      <c r="U102" s="74"/>
    </row>
    <row r="103">
      <c r="D103" s="71"/>
      <c r="E103" s="73"/>
      <c r="N103" s="74"/>
      <c r="O103" s="74"/>
      <c r="P103" s="74"/>
      <c r="Q103" s="74"/>
      <c r="R103" s="73"/>
      <c r="S103" s="74"/>
      <c r="T103" s="73"/>
      <c r="U103" s="74"/>
    </row>
    <row r="104">
      <c r="D104" s="71"/>
      <c r="E104" s="73"/>
      <c r="N104" s="74"/>
      <c r="O104" s="74"/>
      <c r="P104" s="74"/>
      <c r="Q104" s="74"/>
      <c r="R104" s="73"/>
      <c r="S104" s="74"/>
      <c r="T104" s="73"/>
      <c r="U104" s="74"/>
    </row>
    <row r="105">
      <c r="D105" s="71"/>
      <c r="E105" s="73"/>
      <c r="N105" s="74"/>
      <c r="O105" s="74"/>
      <c r="P105" s="74"/>
      <c r="Q105" s="74"/>
      <c r="R105" s="73"/>
      <c r="S105" s="74"/>
      <c r="T105" s="73"/>
      <c r="U105" s="74"/>
    </row>
    <row r="106">
      <c r="D106" s="71"/>
      <c r="E106" s="73"/>
      <c r="N106" s="74"/>
      <c r="O106" s="74"/>
      <c r="P106" s="74"/>
      <c r="Q106" s="74"/>
      <c r="R106" s="73"/>
      <c r="S106" s="74"/>
      <c r="T106" s="73"/>
      <c r="U106" s="74"/>
    </row>
    <row r="107">
      <c r="D107" s="71"/>
      <c r="E107" s="73"/>
      <c r="N107" s="74"/>
      <c r="O107" s="74"/>
      <c r="P107" s="74"/>
      <c r="Q107" s="74"/>
      <c r="R107" s="73"/>
      <c r="S107" s="74"/>
      <c r="T107" s="73"/>
      <c r="U107" s="74"/>
    </row>
    <row r="108">
      <c r="D108" s="71"/>
      <c r="E108" s="73"/>
      <c r="N108" s="74"/>
      <c r="O108" s="74"/>
      <c r="P108" s="74"/>
      <c r="Q108" s="74"/>
      <c r="R108" s="73"/>
      <c r="S108" s="74"/>
      <c r="T108" s="73"/>
      <c r="U108" s="74"/>
    </row>
    <row r="109">
      <c r="D109" s="71"/>
      <c r="E109" s="73"/>
      <c r="N109" s="74"/>
      <c r="O109" s="74"/>
      <c r="P109" s="74"/>
      <c r="Q109" s="74"/>
      <c r="R109" s="73"/>
      <c r="S109" s="74"/>
      <c r="T109" s="73"/>
      <c r="U109" s="74"/>
    </row>
    <row r="110">
      <c r="D110" s="71"/>
      <c r="E110" s="73"/>
      <c r="N110" s="74"/>
      <c r="O110" s="74"/>
      <c r="P110" s="74"/>
      <c r="Q110" s="74"/>
      <c r="R110" s="73"/>
      <c r="S110" s="74"/>
      <c r="T110" s="73"/>
      <c r="U110" s="74"/>
    </row>
    <row r="111">
      <c r="D111" s="71"/>
      <c r="E111" s="73"/>
      <c r="N111" s="74"/>
      <c r="O111" s="74"/>
      <c r="P111" s="74"/>
      <c r="Q111" s="74"/>
      <c r="R111" s="73"/>
      <c r="S111" s="74"/>
      <c r="T111" s="73"/>
      <c r="U111" s="74"/>
    </row>
    <row r="112">
      <c r="D112" s="71"/>
      <c r="E112" s="73"/>
      <c r="N112" s="74"/>
      <c r="O112" s="74"/>
      <c r="P112" s="74"/>
      <c r="Q112" s="74"/>
      <c r="R112" s="73"/>
      <c r="S112" s="74"/>
      <c r="T112" s="73"/>
      <c r="U112" s="74"/>
    </row>
    <row r="113">
      <c r="D113" s="71"/>
      <c r="E113" s="73"/>
      <c r="N113" s="74"/>
      <c r="O113" s="74"/>
      <c r="P113" s="74"/>
      <c r="Q113" s="74"/>
      <c r="R113" s="73"/>
      <c r="S113" s="74"/>
      <c r="T113" s="73"/>
      <c r="U113" s="74"/>
    </row>
    <row r="114">
      <c r="D114" s="71"/>
      <c r="E114" s="73"/>
      <c r="N114" s="74"/>
      <c r="O114" s="74"/>
      <c r="P114" s="74"/>
      <c r="Q114" s="74"/>
      <c r="R114" s="73"/>
      <c r="S114" s="74"/>
      <c r="T114" s="73"/>
      <c r="U114" s="74"/>
    </row>
    <row r="115">
      <c r="D115" s="71"/>
      <c r="E115" s="73"/>
      <c r="N115" s="74"/>
      <c r="O115" s="74"/>
      <c r="P115" s="74"/>
      <c r="Q115" s="74"/>
      <c r="R115" s="73"/>
      <c r="S115" s="74"/>
      <c r="T115" s="73"/>
      <c r="U115" s="74"/>
    </row>
    <row r="116">
      <c r="D116" s="71"/>
      <c r="E116" s="73"/>
      <c r="N116" s="74"/>
      <c r="O116" s="74"/>
      <c r="P116" s="74"/>
      <c r="Q116" s="74"/>
      <c r="R116" s="73"/>
      <c r="S116" s="74"/>
      <c r="T116" s="73"/>
      <c r="U116" s="74"/>
    </row>
    <row r="117">
      <c r="D117" s="71"/>
      <c r="E117" s="73"/>
      <c r="N117" s="74"/>
      <c r="O117" s="74"/>
      <c r="P117" s="74"/>
      <c r="Q117" s="74"/>
      <c r="R117" s="73"/>
      <c r="S117" s="74"/>
      <c r="T117" s="73"/>
      <c r="U117" s="74"/>
    </row>
    <row r="118">
      <c r="D118" s="71"/>
      <c r="E118" s="73"/>
      <c r="N118" s="74"/>
      <c r="O118" s="74"/>
      <c r="P118" s="74"/>
      <c r="Q118" s="74"/>
      <c r="R118" s="73"/>
      <c r="S118" s="74"/>
      <c r="T118" s="73"/>
      <c r="U118" s="74"/>
    </row>
    <row r="119">
      <c r="D119" s="71"/>
      <c r="E119" s="73"/>
      <c r="N119" s="74"/>
      <c r="O119" s="74"/>
      <c r="P119" s="74"/>
      <c r="Q119" s="74"/>
      <c r="R119" s="73"/>
      <c r="S119" s="74"/>
      <c r="T119" s="73"/>
      <c r="U119" s="74"/>
    </row>
    <row r="120">
      <c r="D120" s="71"/>
      <c r="E120" s="73"/>
      <c r="N120" s="74"/>
      <c r="O120" s="74"/>
      <c r="P120" s="74"/>
      <c r="Q120" s="74"/>
      <c r="R120" s="73"/>
      <c r="S120" s="74"/>
      <c r="T120" s="73"/>
      <c r="U120" s="74"/>
    </row>
    <row r="121">
      <c r="D121" s="71"/>
      <c r="E121" s="73"/>
      <c r="N121" s="74"/>
      <c r="O121" s="74"/>
      <c r="P121" s="74"/>
      <c r="Q121" s="74"/>
      <c r="R121" s="73"/>
      <c r="S121" s="74"/>
      <c r="T121" s="73"/>
      <c r="U121" s="74"/>
    </row>
    <row r="122">
      <c r="D122" s="71"/>
      <c r="E122" s="73"/>
      <c r="N122" s="74"/>
      <c r="O122" s="74"/>
      <c r="P122" s="74"/>
      <c r="Q122" s="74"/>
      <c r="R122" s="73"/>
      <c r="S122" s="74"/>
      <c r="T122" s="73"/>
      <c r="U122" s="74"/>
    </row>
    <row r="123">
      <c r="D123" s="71"/>
      <c r="E123" s="73"/>
      <c r="N123" s="74"/>
      <c r="O123" s="74"/>
      <c r="P123" s="74"/>
      <c r="Q123" s="74"/>
      <c r="R123" s="73"/>
      <c r="S123" s="74"/>
      <c r="T123" s="73"/>
      <c r="U123" s="74"/>
    </row>
    <row r="124">
      <c r="D124" s="71"/>
      <c r="E124" s="73"/>
      <c r="N124" s="74"/>
      <c r="O124" s="74"/>
      <c r="P124" s="74"/>
      <c r="Q124" s="74"/>
      <c r="R124" s="73"/>
      <c r="S124" s="74"/>
      <c r="T124" s="73"/>
      <c r="U124" s="74"/>
    </row>
    <row r="125">
      <c r="D125" s="71"/>
      <c r="E125" s="73"/>
      <c r="N125" s="74"/>
      <c r="O125" s="74"/>
      <c r="P125" s="74"/>
      <c r="Q125" s="74"/>
      <c r="R125" s="73"/>
      <c r="S125" s="74"/>
      <c r="T125" s="73"/>
      <c r="U125" s="74"/>
    </row>
    <row r="126">
      <c r="D126" s="71"/>
      <c r="E126" s="73"/>
      <c r="N126" s="74"/>
      <c r="O126" s="74"/>
      <c r="P126" s="74"/>
      <c r="Q126" s="74"/>
      <c r="R126" s="73"/>
      <c r="S126" s="74"/>
      <c r="T126" s="73"/>
      <c r="U126" s="74"/>
    </row>
    <row r="127">
      <c r="D127" s="71"/>
      <c r="E127" s="73"/>
      <c r="N127" s="74"/>
      <c r="O127" s="74"/>
      <c r="P127" s="74"/>
      <c r="Q127" s="74"/>
      <c r="R127" s="73"/>
      <c r="S127" s="74"/>
      <c r="T127" s="73"/>
      <c r="U127" s="74"/>
    </row>
    <row r="128">
      <c r="D128" s="71"/>
      <c r="E128" s="73"/>
      <c r="N128" s="74"/>
      <c r="O128" s="74"/>
      <c r="P128" s="74"/>
      <c r="Q128" s="74"/>
      <c r="R128" s="73"/>
      <c r="S128" s="74"/>
      <c r="T128" s="73"/>
      <c r="U128" s="74"/>
    </row>
    <row r="129">
      <c r="D129" s="71"/>
      <c r="E129" s="73"/>
      <c r="N129" s="74"/>
      <c r="O129" s="74"/>
      <c r="P129" s="74"/>
      <c r="Q129" s="74"/>
      <c r="R129" s="73"/>
      <c r="S129" s="74"/>
      <c r="T129" s="73"/>
      <c r="U129" s="74"/>
    </row>
    <row r="130">
      <c r="D130" s="71"/>
      <c r="E130" s="73"/>
      <c r="N130" s="74"/>
      <c r="O130" s="74"/>
      <c r="P130" s="74"/>
      <c r="Q130" s="74"/>
      <c r="R130" s="73"/>
      <c r="S130" s="74"/>
      <c r="T130" s="73"/>
      <c r="U130" s="74"/>
    </row>
    <row r="131">
      <c r="D131" s="71"/>
      <c r="E131" s="73"/>
      <c r="N131" s="74"/>
      <c r="O131" s="74"/>
      <c r="P131" s="74"/>
      <c r="Q131" s="74"/>
      <c r="R131" s="73"/>
      <c r="S131" s="74"/>
      <c r="T131" s="73"/>
      <c r="U131" s="74"/>
    </row>
    <row r="132">
      <c r="D132" s="71"/>
      <c r="E132" s="73"/>
      <c r="N132" s="74"/>
      <c r="O132" s="74"/>
      <c r="P132" s="74"/>
      <c r="Q132" s="74"/>
      <c r="R132" s="73"/>
      <c r="S132" s="74"/>
      <c r="T132" s="73"/>
      <c r="U132" s="74"/>
    </row>
    <row r="133">
      <c r="D133" s="71"/>
      <c r="E133" s="73"/>
      <c r="N133" s="74"/>
      <c r="O133" s="74"/>
      <c r="P133" s="74"/>
      <c r="Q133" s="74"/>
      <c r="R133" s="73"/>
      <c r="S133" s="74"/>
      <c r="T133" s="73"/>
      <c r="U133" s="74"/>
    </row>
    <row r="134">
      <c r="D134" s="71"/>
      <c r="E134" s="73"/>
      <c r="N134" s="74"/>
      <c r="O134" s="74"/>
      <c r="P134" s="74"/>
      <c r="Q134" s="74"/>
      <c r="R134" s="73"/>
      <c r="S134" s="74"/>
      <c r="T134" s="73"/>
      <c r="U134" s="74"/>
    </row>
    <row r="135">
      <c r="D135" s="71"/>
      <c r="E135" s="73"/>
      <c r="N135" s="74"/>
      <c r="O135" s="74"/>
      <c r="P135" s="74"/>
      <c r="Q135" s="74"/>
      <c r="R135" s="73"/>
      <c r="S135" s="74"/>
      <c r="T135" s="73"/>
      <c r="U135" s="74"/>
    </row>
    <row r="136">
      <c r="D136" s="71"/>
      <c r="E136" s="73"/>
      <c r="N136" s="74"/>
      <c r="O136" s="74"/>
      <c r="P136" s="74"/>
      <c r="Q136" s="74"/>
      <c r="R136" s="73"/>
      <c r="S136" s="74"/>
      <c r="T136" s="73"/>
      <c r="U136" s="74"/>
    </row>
    <row r="137">
      <c r="D137" s="71"/>
      <c r="E137" s="73"/>
      <c r="N137" s="74"/>
      <c r="O137" s="74"/>
      <c r="P137" s="74"/>
      <c r="Q137" s="74"/>
      <c r="R137" s="73"/>
      <c r="S137" s="74"/>
      <c r="T137" s="73"/>
      <c r="U137" s="74"/>
    </row>
    <row r="138">
      <c r="D138" s="71"/>
      <c r="E138" s="73"/>
      <c r="N138" s="74"/>
      <c r="O138" s="74"/>
      <c r="P138" s="74"/>
      <c r="Q138" s="74"/>
      <c r="R138" s="73"/>
      <c r="S138" s="74"/>
      <c r="T138" s="73"/>
      <c r="U138" s="74"/>
    </row>
    <row r="139">
      <c r="D139" s="71"/>
      <c r="E139" s="73"/>
      <c r="N139" s="74"/>
      <c r="O139" s="74"/>
      <c r="P139" s="74"/>
      <c r="Q139" s="74"/>
      <c r="R139" s="73"/>
      <c r="S139" s="74"/>
      <c r="T139" s="73"/>
      <c r="U139" s="74"/>
    </row>
    <row r="140">
      <c r="D140" s="71"/>
      <c r="E140" s="73"/>
      <c r="N140" s="74"/>
      <c r="O140" s="74"/>
      <c r="P140" s="74"/>
      <c r="Q140" s="74"/>
      <c r="R140" s="73"/>
      <c r="S140" s="74"/>
      <c r="T140" s="73"/>
      <c r="U140" s="74"/>
    </row>
    <row r="141">
      <c r="D141" s="71"/>
      <c r="E141" s="73"/>
      <c r="N141" s="74"/>
      <c r="O141" s="74"/>
      <c r="P141" s="74"/>
      <c r="Q141" s="74"/>
      <c r="R141" s="73"/>
      <c r="S141" s="74"/>
      <c r="T141" s="73"/>
      <c r="U141" s="74"/>
    </row>
    <row r="142">
      <c r="D142" s="71"/>
      <c r="E142" s="73"/>
      <c r="N142" s="74"/>
      <c r="O142" s="74"/>
      <c r="P142" s="74"/>
      <c r="Q142" s="74"/>
      <c r="R142" s="73"/>
      <c r="S142" s="74"/>
      <c r="T142" s="73"/>
      <c r="U142" s="74"/>
    </row>
    <row r="143">
      <c r="D143" s="71"/>
      <c r="E143" s="73"/>
      <c r="N143" s="74"/>
      <c r="O143" s="74"/>
      <c r="P143" s="74"/>
      <c r="Q143" s="74"/>
      <c r="R143" s="73"/>
      <c r="S143" s="74"/>
      <c r="T143" s="73"/>
      <c r="U143" s="74"/>
    </row>
    <row r="144">
      <c r="D144" s="71"/>
      <c r="E144" s="73"/>
      <c r="N144" s="74"/>
      <c r="O144" s="74"/>
      <c r="P144" s="74"/>
      <c r="Q144" s="74"/>
      <c r="R144" s="73"/>
      <c r="S144" s="74"/>
      <c r="T144" s="73"/>
      <c r="U144" s="74"/>
    </row>
    <row r="145">
      <c r="D145" s="71"/>
      <c r="E145" s="73"/>
      <c r="N145" s="74"/>
      <c r="O145" s="74"/>
      <c r="P145" s="74"/>
      <c r="Q145" s="74"/>
      <c r="R145" s="73"/>
      <c r="S145" s="74"/>
      <c r="T145" s="73"/>
      <c r="U145" s="74"/>
    </row>
    <row r="146">
      <c r="D146" s="71"/>
      <c r="E146" s="73"/>
      <c r="N146" s="74"/>
      <c r="O146" s="74"/>
      <c r="P146" s="74"/>
      <c r="Q146" s="74"/>
      <c r="R146" s="73"/>
      <c r="S146" s="74"/>
      <c r="T146" s="73"/>
      <c r="U146" s="74"/>
    </row>
    <row r="147">
      <c r="D147" s="71"/>
      <c r="E147" s="73"/>
      <c r="N147" s="74"/>
      <c r="O147" s="74"/>
      <c r="P147" s="74"/>
      <c r="Q147" s="74"/>
      <c r="R147" s="73"/>
      <c r="S147" s="74"/>
      <c r="T147" s="73"/>
      <c r="U147" s="74"/>
    </row>
    <row r="148">
      <c r="D148" s="71"/>
      <c r="E148" s="73"/>
      <c r="N148" s="74"/>
      <c r="O148" s="74"/>
      <c r="P148" s="74"/>
      <c r="Q148" s="74"/>
      <c r="R148" s="73"/>
      <c r="S148" s="74"/>
      <c r="T148" s="73"/>
      <c r="U148" s="74"/>
    </row>
    <row r="149">
      <c r="D149" s="71"/>
      <c r="E149" s="73"/>
      <c r="N149" s="74"/>
      <c r="O149" s="74"/>
      <c r="P149" s="74"/>
      <c r="Q149" s="74"/>
      <c r="R149" s="73"/>
      <c r="S149" s="74"/>
      <c r="T149" s="73"/>
      <c r="U149" s="74"/>
    </row>
    <row r="150">
      <c r="D150" s="71"/>
      <c r="E150" s="73"/>
      <c r="N150" s="74"/>
      <c r="O150" s="74"/>
      <c r="P150" s="74"/>
      <c r="Q150" s="74"/>
      <c r="R150" s="73"/>
      <c r="S150" s="74"/>
      <c r="T150" s="73"/>
      <c r="U150" s="74"/>
    </row>
    <row r="151">
      <c r="D151" s="71"/>
      <c r="E151" s="73"/>
      <c r="N151" s="74"/>
      <c r="O151" s="74"/>
      <c r="P151" s="74"/>
      <c r="Q151" s="74"/>
      <c r="R151" s="73"/>
      <c r="S151" s="74"/>
      <c r="T151" s="73"/>
      <c r="U151" s="74"/>
    </row>
    <row r="152">
      <c r="D152" s="71"/>
      <c r="E152" s="73"/>
      <c r="N152" s="74"/>
      <c r="O152" s="74"/>
      <c r="P152" s="74"/>
      <c r="Q152" s="74"/>
      <c r="R152" s="73"/>
      <c r="S152" s="74"/>
      <c r="T152" s="73"/>
      <c r="U152" s="74"/>
    </row>
    <row r="153">
      <c r="D153" s="71"/>
      <c r="E153" s="73"/>
      <c r="N153" s="74"/>
      <c r="O153" s="74"/>
      <c r="P153" s="74"/>
      <c r="Q153" s="74"/>
      <c r="R153" s="73"/>
      <c r="S153" s="74"/>
      <c r="T153" s="73"/>
      <c r="U153" s="74"/>
    </row>
    <row r="154">
      <c r="D154" s="71"/>
      <c r="E154" s="73"/>
      <c r="N154" s="74"/>
      <c r="O154" s="74"/>
      <c r="P154" s="74"/>
      <c r="Q154" s="74"/>
      <c r="R154" s="73"/>
      <c r="S154" s="74"/>
      <c r="T154" s="73"/>
      <c r="U154" s="74"/>
    </row>
    <row r="155">
      <c r="D155" s="71"/>
      <c r="E155" s="73"/>
      <c r="N155" s="74"/>
      <c r="O155" s="74"/>
      <c r="P155" s="74"/>
      <c r="Q155" s="74"/>
      <c r="R155" s="73"/>
      <c r="S155" s="74"/>
      <c r="T155" s="73"/>
      <c r="U155" s="74"/>
    </row>
    <row r="156">
      <c r="D156" s="71"/>
      <c r="E156" s="73"/>
      <c r="N156" s="74"/>
      <c r="O156" s="74"/>
      <c r="P156" s="74"/>
      <c r="Q156" s="74"/>
      <c r="R156" s="73"/>
      <c r="S156" s="74"/>
      <c r="T156" s="73"/>
      <c r="U156" s="74"/>
    </row>
    <row r="157">
      <c r="D157" s="71"/>
      <c r="E157" s="73"/>
      <c r="N157" s="74"/>
      <c r="O157" s="74"/>
      <c r="P157" s="74"/>
      <c r="Q157" s="74"/>
      <c r="R157" s="73"/>
      <c r="S157" s="74"/>
      <c r="T157" s="73"/>
      <c r="U157" s="74"/>
    </row>
    <row r="158">
      <c r="D158" s="71"/>
      <c r="E158" s="73"/>
      <c r="N158" s="74"/>
      <c r="O158" s="74"/>
      <c r="P158" s="74"/>
      <c r="Q158" s="74"/>
      <c r="R158" s="73"/>
      <c r="S158" s="74"/>
      <c r="T158" s="73"/>
      <c r="U158" s="74"/>
    </row>
    <row r="159">
      <c r="D159" s="71"/>
      <c r="E159" s="73"/>
      <c r="N159" s="74"/>
      <c r="O159" s="74"/>
      <c r="P159" s="74"/>
      <c r="Q159" s="74"/>
      <c r="R159" s="73"/>
      <c r="S159" s="74"/>
      <c r="T159" s="73"/>
      <c r="U159" s="74"/>
    </row>
    <row r="160">
      <c r="D160" s="71"/>
      <c r="E160" s="73"/>
      <c r="N160" s="74"/>
      <c r="O160" s="74"/>
      <c r="P160" s="74"/>
      <c r="Q160" s="74"/>
      <c r="R160" s="73"/>
      <c r="S160" s="74"/>
      <c r="T160" s="73"/>
      <c r="U160" s="74"/>
    </row>
    <row r="161">
      <c r="D161" s="71"/>
      <c r="E161" s="73"/>
      <c r="N161" s="74"/>
      <c r="O161" s="74"/>
      <c r="P161" s="74"/>
      <c r="Q161" s="74"/>
      <c r="R161" s="73"/>
      <c r="S161" s="74"/>
      <c r="T161" s="73"/>
      <c r="U161" s="74"/>
    </row>
    <row r="162">
      <c r="D162" s="71"/>
      <c r="E162" s="73"/>
      <c r="N162" s="74"/>
      <c r="O162" s="74"/>
      <c r="P162" s="74"/>
      <c r="Q162" s="74"/>
      <c r="R162" s="73"/>
      <c r="S162" s="74"/>
      <c r="T162" s="73"/>
      <c r="U162" s="74"/>
    </row>
    <row r="163">
      <c r="D163" s="71"/>
      <c r="E163" s="73"/>
      <c r="N163" s="74"/>
      <c r="O163" s="74"/>
      <c r="P163" s="74"/>
      <c r="Q163" s="74"/>
      <c r="R163" s="73"/>
      <c r="S163" s="74"/>
      <c r="T163" s="73"/>
      <c r="U163" s="74"/>
    </row>
    <row r="164">
      <c r="D164" s="71"/>
      <c r="E164" s="73"/>
      <c r="N164" s="74"/>
      <c r="O164" s="74"/>
      <c r="P164" s="74"/>
      <c r="Q164" s="74"/>
      <c r="R164" s="73"/>
      <c r="S164" s="74"/>
      <c r="T164" s="73"/>
      <c r="U164" s="74"/>
    </row>
    <row r="165">
      <c r="D165" s="71"/>
      <c r="E165" s="73"/>
      <c r="N165" s="74"/>
      <c r="O165" s="74"/>
      <c r="P165" s="74"/>
      <c r="Q165" s="74"/>
      <c r="R165" s="73"/>
      <c r="S165" s="74"/>
      <c r="T165" s="73"/>
      <c r="U165" s="74"/>
    </row>
    <row r="166">
      <c r="D166" s="71"/>
      <c r="E166" s="73"/>
      <c r="N166" s="74"/>
      <c r="O166" s="74"/>
      <c r="P166" s="74"/>
      <c r="Q166" s="74"/>
      <c r="R166" s="73"/>
      <c r="S166" s="74"/>
      <c r="T166" s="73"/>
      <c r="U166" s="74"/>
    </row>
    <row r="167">
      <c r="D167" s="71"/>
      <c r="E167" s="73"/>
      <c r="N167" s="74"/>
      <c r="O167" s="74"/>
      <c r="P167" s="74"/>
      <c r="Q167" s="74"/>
      <c r="R167" s="73"/>
      <c r="S167" s="74"/>
      <c r="T167" s="73"/>
      <c r="U167" s="74"/>
    </row>
    <row r="168">
      <c r="D168" s="71"/>
      <c r="E168" s="73"/>
      <c r="N168" s="74"/>
      <c r="O168" s="74"/>
      <c r="P168" s="74"/>
      <c r="Q168" s="74"/>
      <c r="R168" s="73"/>
      <c r="S168" s="74"/>
      <c r="T168" s="73"/>
      <c r="U168" s="74"/>
    </row>
    <row r="169">
      <c r="D169" s="71"/>
      <c r="E169" s="73"/>
      <c r="N169" s="74"/>
      <c r="O169" s="74"/>
      <c r="P169" s="74"/>
      <c r="Q169" s="74"/>
      <c r="R169" s="73"/>
      <c r="S169" s="74"/>
      <c r="T169" s="73"/>
      <c r="U169" s="74"/>
    </row>
    <row r="170">
      <c r="D170" s="71"/>
      <c r="E170" s="73"/>
      <c r="N170" s="74"/>
      <c r="O170" s="74"/>
      <c r="P170" s="74"/>
      <c r="Q170" s="74"/>
      <c r="R170" s="73"/>
      <c r="S170" s="74"/>
      <c r="T170" s="73"/>
      <c r="U170" s="74"/>
    </row>
    <row r="171">
      <c r="D171" s="71"/>
      <c r="E171" s="73"/>
      <c r="N171" s="74"/>
      <c r="O171" s="74"/>
      <c r="P171" s="74"/>
      <c r="Q171" s="74"/>
      <c r="R171" s="73"/>
      <c r="S171" s="74"/>
      <c r="T171" s="73"/>
      <c r="U171" s="74"/>
    </row>
    <row r="172">
      <c r="D172" s="71"/>
      <c r="E172" s="73"/>
      <c r="N172" s="74"/>
      <c r="O172" s="74"/>
      <c r="P172" s="74"/>
      <c r="Q172" s="74"/>
      <c r="R172" s="73"/>
      <c r="S172" s="74"/>
      <c r="T172" s="73"/>
      <c r="U172" s="74"/>
    </row>
    <row r="173">
      <c r="D173" s="71"/>
      <c r="E173" s="73"/>
      <c r="N173" s="74"/>
      <c r="O173" s="74"/>
      <c r="P173" s="74"/>
      <c r="Q173" s="74"/>
      <c r="R173" s="73"/>
      <c r="S173" s="74"/>
      <c r="T173" s="73"/>
      <c r="U173" s="74"/>
    </row>
    <row r="174">
      <c r="D174" s="71"/>
      <c r="E174" s="73"/>
      <c r="N174" s="74"/>
      <c r="O174" s="74"/>
      <c r="P174" s="74"/>
      <c r="Q174" s="74"/>
      <c r="R174" s="73"/>
      <c r="S174" s="74"/>
      <c r="T174" s="73"/>
      <c r="U174" s="74"/>
    </row>
    <row r="175">
      <c r="D175" s="71"/>
      <c r="E175" s="73"/>
      <c r="N175" s="74"/>
      <c r="O175" s="74"/>
      <c r="P175" s="74"/>
      <c r="Q175" s="74"/>
      <c r="R175" s="73"/>
      <c r="S175" s="74"/>
      <c r="T175" s="73"/>
      <c r="U175" s="74"/>
    </row>
    <row r="176">
      <c r="D176" s="71"/>
      <c r="E176" s="73"/>
      <c r="N176" s="74"/>
      <c r="O176" s="74"/>
      <c r="P176" s="74"/>
      <c r="Q176" s="74"/>
      <c r="R176" s="73"/>
      <c r="S176" s="74"/>
      <c r="T176" s="73"/>
      <c r="U176" s="74"/>
    </row>
    <row r="177">
      <c r="D177" s="71"/>
      <c r="E177" s="73"/>
      <c r="N177" s="74"/>
      <c r="O177" s="74"/>
      <c r="P177" s="74"/>
      <c r="Q177" s="74"/>
      <c r="R177" s="73"/>
      <c r="S177" s="74"/>
      <c r="T177" s="73"/>
      <c r="U177" s="74"/>
    </row>
    <row r="178">
      <c r="D178" s="71"/>
      <c r="E178" s="73"/>
      <c r="N178" s="74"/>
      <c r="O178" s="74"/>
      <c r="P178" s="74"/>
      <c r="Q178" s="74"/>
      <c r="R178" s="73"/>
      <c r="S178" s="74"/>
      <c r="T178" s="73"/>
      <c r="U178" s="74"/>
    </row>
    <row r="179">
      <c r="D179" s="71"/>
      <c r="E179" s="73"/>
      <c r="N179" s="74"/>
      <c r="O179" s="74"/>
      <c r="P179" s="74"/>
      <c r="Q179" s="74"/>
      <c r="R179" s="73"/>
      <c r="S179" s="74"/>
      <c r="T179" s="73"/>
      <c r="U179" s="74"/>
    </row>
    <row r="180">
      <c r="D180" s="71"/>
      <c r="E180" s="73"/>
      <c r="N180" s="74"/>
      <c r="O180" s="74"/>
      <c r="P180" s="74"/>
      <c r="Q180" s="74"/>
      <c r="R180" s="73"/>
      <c r="S180" s="74"/>
      <c r="T180" s="73"/>
      <c r="U180" s="74"/>
    </row>
    <row r="181">
      <c r="D181" s="71"/>
      <c r="E181" s="73"/>
      <c r="N181" s="74"/>
      <c r="O181" s="74"/>
      <c r="P181" s="74"/>
      <c r="Q181" s="74"/>
      <c r="R181" s="73"/>
      <c r="S181" s="74"/>
      <c r="T181" s="73"/>
      <c r="U181" s="74"/>
    </row>
    <row r="182">
      <c r="D182" s="71"/>
      <c r="E182" s="73"/>
      <c r="N182" s="74"/>
      <c r="O182" s="74"/>
      <c r="P182" s="74"/>
      <c r="Q182" s="74"/>
      <c r="R182" s="73"/>
      <c r="S182" s="74"/>
      <c r="T182" s="73"/>
      <c r="U182" s="74"/>
    </row>
    <row r="183">
      <c r="D183" s="71"/>
      <c r="E183" s="73"/>
      <c r="N183" s="74"/>
      <c r="O183" s="74"/>
      <c r="P183" s="74"/>
      <c r="Q183" s="74"/>
      <c r="R183" s="73"/>
      <c r="S183" s="74"/>
      <c r="T183" s="73"/>
      <c r="U183" s="74"/>
    </row>
    <row r="184">
      <c r="D184" s="71"/>
      <c r="E184" s="73"/>
      <c r="N184" s="74"/>
      <c r="O184" s="74"/>
      <c r="P184" s="74"/>
      <c r="Q184" s="74"/>
      <c r="R184" s="73"/>
      <c r="S184" s="74"/>
      <c r="T184" s="73"/>
      <c r="U184" s="74"/>
    </row>
    <row r="185">
      <c r="D185" s="71"/>
      <c r="E185" s="73"/>
      <c r="N185" s="74"/>
      <c r="O185" s="74"/>
      <c r="P185" s="74"/>
      <c r="Q185" s="74"/>
      <c r="R185" s="73"/>
      <c r="S185" s="74"/>
      <c r="T185" s="73"/>
      <c r="U185" s="74"/>
    </row>
    <row r="186">
      <c r="D186" s="71"/>
      <c r="E186" s="73"/>
      <c r="N186" s="74"/>
      <c r="O186" s="74"/>
      <c r="P186" s="74"/>
      <c r="Q186" s="74"/>
      <c r="R186" s="73"/>
      <c r="S186" s="74"/>
      <c r="T186" s="73"/>
      <c r="U186" s="74"/>
    </row>
    <row r="187">
      <c r="D187" s="71"/>
      <c r="E187" s="73"/>
      <c r="N187" s="74"/>
      <c r="O187" s="74"/>
      <c r="P187" s="74"/>
      <c r="Q187" s="74"/>
      <c r="R187" s="73"/>
      <c r="S187" s="74"/>
      <c r="T187" s="73"/>
      <c r="U187" s="74"/>
    </row>
    <row r="188">
      <c r="D188" s="71"/>
      <c r="E188" s="73"/>
      <c r="N188" s="74"/>
      <c r="O188" s="74"/>
      <c r="P188" s="74"/>
      <c r="Q188" s="74"/>
      <c r="R188" s="73"/>
      <c r="S188" s="74"/>
      <c r="T188" s="73"/>
      <c r="U188" s="74"/>
    </row>
    <row r="189">
      <c r="D189" s="71"/>
      <c r="E189" s="73"/>
      <c r="N189" s="74"/>
      <c r="O189" s="74"/>
      <c r="P189" s="74"/>
      <c r="Q189" s="74"/>
      <c r="R189" s="73"/>
      <c r="S189" s="74"/>
      <c r="T189" s="73"/>
      <c r="U189" s="74"/>
    </row>
    <row r="190">
      <c r="D190" s="71"/>
      <c r="E190" s="73"/>
      <c r="N190" s="74"/>
      <c r="O190" s="74"/>
      <c r="P190" s="74"/>
      <c r="Q190" s="74"/>
      <c r="R190" s="73"/>
      <c r="S190" s="74"/>
      <c r="T190" s="73"/>
      <c r="U190" s="74"/>
    </row>
    <row r="191">
      <c r="D191" s="71"/>
      <c r="E191" s="73"/>
      <c r="N191" s="74"/>
      <c r="O191" s="74"/>
      <c r="P191" s="74"/>
      <c r="Q191" s="74"/>
      <c r="R191" s="73"/>
      <c r="S191" s="74"/>
      <c r="T191" s="73"/>
      <c r="U191" s="74"/>
    </row>
    <row r="192">
      <c r="D192" s="71"/>
      <c r="E192" s="73"/>
      <c r="N192" s="74"/>
      <c r="O192" s="74"/>
      <c r="P192" s="74"/>
      <c r="Q192" s="74"/>
      <c r="R192" s="73"/>
      <c r="S192" s="74"/>
      <c r="T192" s="73"/>
      <c r="U192" s="74"/>
    </row>
    <row r="193">
      <c r="D193" s="71"/>
      <c r="E193" s="73"/>
      <c r="N193" s="74"/>
      <c r="O193" s="74"/>
      <c r="P193" s="74"/>
      <c r="Q193" s="74"/>
      <c r="R193" s="73"/>
      <c r="S193" s="74"/>
      <c r="T193" s="73"/>
      <c r="U193" s="74"/>
    </row>
    <row r="194">
      <c r="D194" s="71"/>
      <c r="E194" s="73"/>
      <c r="N194" s="74"/>
      <c r="O194" s="74"/>
      <c r="P194" s="74"/>
      <c r="Q194" s="74"/>
      <c r="R194" s="73"/>
      <c r="S194" s="74"/>
      <c r="T194" s="73"/>
      <c r="U194" s="74"/>
    </row>
    <row r="195">
      <c r="D195" s="71"/>
      <c r="E195" s="73"/>
      <c r="N195" s="74"/>
      <c r="O195" s="74"/>
      <c r="P195" s="74"/>
      <c r="Q195" s="74"/>
      <c r="R195" s="73"/>
      <c r="S195" s="74"/>
      <c r="T195" s="73"/>
      <c r="U195" s="74"/>
    </row>
    <row r="196">
      <c r="D196" s="71"/>
      <c r="E196" s="73"/>
      <c r="N196" s="74"/>
      <c r="O196" s="74"/>
      <c r="P196" s="74"/>
      <c r="Q196" s="74"/>
      <c r="R196" s="73"/>
      <c r="S196" s="74"/>
      <c r="T196" s="73"/>
      <c r="U196" s="74"/>
    </row>
    <row r="197">
      <c r="D197" s="71"/>
      <c r="E197" s="73"/>
      <c r="N197" s="74"/>
      <c r="O197" s="74"/>
      <c r="P197" s="74"/>
      <c r="Q197" s="74"/>
      <c r="R197" s="73"/>
      <c r="S197" s="74"/>
      <c r="T197" s="73"/>
      <c r="U197" s="74"/>
    </row>
    <row r="198">
      <c r="D198" s="71"/>
      <c r="E198" s="73"/>
      <c r="N198" s="74"/>
      <c r="O198" s="74"/>
      <c r="P198" s="74"/>
      <c r="Q198" s="74"/>
      <c r="R198" s="73"/>
      <c r="S198" s="74"/>
      <c r="T198" s="73"/>
      <c r="U198" s="74"/>
    </row>
    <row r="199">
      <c r="D199" s="71"/>
      <c r="E199" s="73"/>
      <c r="N199" s="74"/>
      <c r="O199" s="74"/>
      <c r="P199" s="74"/>
      <c r="Q199" s="74"/>
      <c r="R199" s="73"/>
      <c r="S199" s="74"/>
      <c r="T199" s="73"/>
      <c r="U199" s="74"/>
    </row>
    <row r="200">
      <c r="D200" s="71"/>
      <c r="E200" s="73"/>
      <c r="N200" s="74"/>
      <c r="O200" s="74"/>
      <c r="P200" s="74"/>
      <c r="Q200" s="74"/>
      <c r="R200" s="73"/>
      <c r="S200" s="74"/>
      <c r="T200" s="73"/>
      <c r="U200" s="74"/>
    </row>
    <row r="201">
      <c r="D201" s="71"/>
      <c r="E201" s="73"/>
      <c r="N201" s="74"/>
      <c r="O201" s="74"/>
      <c r="P201" s="74"/>
      <c r="Q201" s="74"/>
      <c r="R201" s="73"/>
      <c r="S201" s="74"/>
      <c r="T201" s="73"/>
      <c r="U201" s="74"/>
    </row>
    <row r="202">
      <c r="D202" s="71"/>
      <c r="E202" s="73"/>
      <c r="N202" s="74"/>
      <c r="O202" s="74"/>
      <c r="P202" s="74"/>
      <c r="Q202" s="74"/>
      <c r="R202" s="73"/>
      <c r="S202" s="74"/>
      <c r="T202" s="73"/>
      <c r="U202" s="74"/>
    </row>
    <row r="203">
      <c r="D203" s="71"/>
      <c r="E203" s="73"/>
      <c r="N203" s="74"/>
      <c r="O203" s="74"/>
      <c r="P203" s="74"/>
      <c r="Q203" s="74"/>
      <c r="R203" s="73"/>
      <c r="S203" s="74"/>
      <c r="T203" s="73"/>
      <c r="U203" s="74"/>
    </row>
    <row r="204">
      <c r="D204" s="71"/>
      <c r="E204" s="73"/>
      <c r="N204" s="74"/>
      <c r="O204" s="74"/>
      <c r="P204" s="74"/>
      <c r="Q204" s="74"/>
      <c r="R204" s="73"/>
      <c r="S204" s="74"/>
      <c r="T204" s="73"/>
      <c r="U204" s="74"/>
    </row>
    <row r="205">
      <c r="D205" s="71"/>
      <c r="E205" s="73"/>
      <c r="N205" s="74"/>
      <c r="O205" s="74"/>
      <c r="P205" s="74"/>
      <c r="Q205" s="74"/>
      <c r="R205" s="73"/>
      <c r="S205" s="74"/>
      <c r="T205" s="73"/>
      <c r="U205" s="74"/>
    </row>
    <row r="206">
      <c r="D206" s="71"/>
      <c r="E206" s="73"/>
      <c r="N206" s="74"/>
      <c r="O206" s="74"/>
      <c r="P206" s="74"/>
      <c r="Q206" s="74"/>
      <c r="R206" s="73"/>
      <c r="S206" s="74"/>
      <c r="T206" s="73"/>
      <c r="U206" s="74"/>
    </row>
    <row r="207">
      <c r="D207" s="71"/>
      <c r="E207" s="73"/>
      <c r="N207" s="74"/>
      <c r="O207" s="74"/>
      <c r="P207" s="74"/>
      <c r="Q207" s="74"/>
      <c r="R207" s="73"/>
      <c r="S207" s="74"/>
      <c r="T207" s="73"/>
      <c r="U207" s="74"/>
    </row>
    <row r="208">
      <c r="D208" s="71"/>
      <c r="E208" s="73"/>
      <c r="N208" s="74"/>
      <c r="O208" s="74"/>
      <c r="P208" s="74"/>
      <c r="Q208" s="74"/>
      <c r="R208" s="73"/>
      <c r="S208" s="74"/>
      <c r="T208" s="73"/>
      <c r="U208" s="74"/>
    </row>
    <row r="209">
      <c r="D209" s="71"/>
      <c r="E209" s="73"/>
      <c r="N209" s="74"/>
      <c r="O209" s="74"/>
      <c r="P209" s="74"/>
      <c r="Q209" s="74"/>
      <c r="R209" s="73"/>
      <c r="S209" s="74"/>
      <c r="T209" s="73"/>
      <c r="U209" s="74"/>
    </row>
    <row r="210">
      <c r="D210" s="71"/>
      <c r="E210" s="73"/>
      <c r="N210" s="74"/>
      <c r="O210" s="74"/>
      <c r="P210" s="74"/>
      <c r="Q210" s="74"/>
      <c r="R210" s="73"/>
      <c r="S210" s="74"/>
      <c r="T210" s="73"/>
      <c r="U210" s="74"/>
    </row>
    <row r="211">
      <c r="D211" s="71"/>
      <c r="E211" s="73"/>
      <c r="N211" s="74"/>
      <c r="O211" s="74"/>
      <c r="P211" s="74"/>
      <c r="Q211" s="74"/>
      <c r="R211" s="73"/>
      <c r="S211" s="74"/>
      <c r="T211" s="73"/>
      <c r="U211" s="74"/>
    </row>
    <row r="212">
      <c r="D212" s="71"/>
      <c r="E212" s="73"/>
      <c r="N212" s="74"/>
      <c r="O212" s="74"/>
      <c r="P212" s="74"/>
      <c r="Q212" s="74"/>
      <c r="R212" s="73"/>
      <c r="S212" s="74"/>
      <c r="T212" s="73"/>
      <c r="U212" s="74"/>
    </row>
    <row r="213">
      <c r="D213" s="71"/>
      <c r="E213" s="73"/>
      <c r="N213" s="74"/>
      <c r="O213" s="74"/>
      <c r="P213" s="74"/>
      <c r="Q213" s="74"/>
      <c r="R213" s="73"/>
      <c r="S213" s="74"/>
      <c r="T213" s="73"/>
      <c r="U213" s="74"/>
    </row>
    <row r="214">
      <c r="D214" s="71"/>
      <c r="E214" s="73"/>
      <c r="N214" s="74"/>
      <c r="O214" s="74"/>
      <c r="P214" s="74"/>
      <c r="Q214" s="74"/>
      <c r="R214" s="73"/>
      <c r="S214" s="74"/>
      <c r="T214" s="73"/>
      <c r="U214" s="74"/>
    </row>
    <row r="215">
      <c r="D215" s="71"/>
      <c r="E215" s="73"/>
      <c r="N215" s="74"/>
      <c r="O215" s="74"/>
      <c r="P215" s="74"/>
      <c r="Q215" s="74"/>
      <c r="R215" s="73"/>
      <c r="S215" s="74"/>
      <c r="T215" s="73"/>
      <c r="U215" s="74"/>
    </row>
    <row r="216">
      <c r="D216" s="71"/>
      <c r="E216" s="73"/>
      <c r="N216" s="74"/>
      <c r="O216" s="74"/>
      <c r="P216" s="74"/>
      <c r="Q216" s="74"/>
      <c r="R216" s="73"/>
      <c r="S216" s="74"/>
      <c r="T216" s="73"/>
      <c r="U216" s="74"/>
    </row>
    <row r="217">
      <c r="D217" s="71"/>
      <c r="E217" s="73"/>
      <c r="N217" s="74"/>
      <c r="O217" s="74"/>
      <c r="P217" s="74"/>
      <c r="Q217" s="74"/>
      <c r="R217" s="73"/>
      <c r="S217" s="74"/>
      <c r="T217" s="73"/>
      <c r="U217" s="74"/>
    </row>
    <row r="218">
      <c r="D218" s="71"/>
      <c r="E218" s="73"/>
      <c r="N218" s="74"/>
      <c r="O218" s="74"/>
      <c r="P218" s="74"/>
      <c r="Q218" s="74"/>
      <c r="R218" s="73"/>
      <c r="S218" s="74"/>
      <c r="T218" s="73"/>
      <c r="U218" s="74"/>
    </row>
    <row r="219">
      <c r="D219" s="71"/>
      <c r="E219" s="73"/>
      <c r="N219" s="74"/>
      <c r="O219" s="74"/>
      <c r="P219" s="74"/>
      <c r="Q219" s="74"/>
      <c r="R219" s="73"/>
      <c r="S219" s="74"/>
      <c r="T219" s="73"/>
      <c r="U219" s="74"/>
    </row>
    <row r="220">
      <c r="D220" s="71"/>
      <c r="E220" s="73"/>
      <c r="N220" s="74"/>
      <c r="O220" s="74"/>
      <c r="P220" s="74"/>
      <c r="Q220" s="74"/>
      <c r="R220" s="73"/>
      <c r="S220" s="74"/>
      <c r="T220" s="73"/>
      <c r="U220" s="74"/>
    </row>
    <row r="221">
      <c r="D221" s="71"/>
      <c r="E221" s="73"/>
      <c r="N221" s="74"/>
      <c r="O221" s="74"/>
      <c r="P221" s="74"/>
      <c r="Q221" s="74"/>
      <c r="R221" s="73"/>
      <c r="S221" s="74"/>
      <c r="T221" s="73"/>
      <c r="U221" s="74"/>
    </row>
    <row r="222">
      <c r="D222" s="71"/>
      <c r="E222" s="73"/>
      <c r="N222" s="74"/>
      <c r="O222" s="74"/>
      <c r="P222" s="74"/>
      <c r="Q222" s="74"/>
      <c r="R222" s="73"/>
      <c r="S222" s="74"/>
      <c r="T222" s="73"/>
      <c r="U222" s="74"/>
    </row>
    <row r="223">
      <c r="D223" s="71"/>
      <c r="E223" s="73"/>
      <c r="N223" s="74"/>
      <c r="O223" s="74"/>
      <c r="P223" s="74"/>
      <c r="Q223" s="74"/>
      <c r="R223" s="73"/>
      <c r="S223" s="74"/>
      <c r="T223" s="73"/>
      <c r="U223" s="74"/>
    </row>
    <row r="224">
      <c r="D224" s="71"/>
      <c r="E224" s="73"/>
      <c r="N224" s="74"/>
      <c r="O224" s="74"/>
      <c r="P224" s="74"/>
      <c r="Q224" s="74"/>
      <c r="R224" s="73"/>
      <c r="S224" s="74"/>
      <c r="T224" s="73"/>
      <c r="U224" s="74"/>
    </row>
    <row r="225">
      <c r="D225" s="71"/>
      <c r="E225" s="73"/>
      <c r="N225" s="74"/>
      <c r="O225" s="74"/>
      <c r="P225" s="74"/>
      <c r="Q225" s="74"/>
      <c r="R225" s="73"/>
      <c r="S225" s="74"/>
      <c r="T225" s="73"/>
      <c r="U225" s="74"/>
    </row>
    <row r="226">
      <c r="D226" s="71"/>
      <c r="E226" s="73"/>
      <c r="N226" s="74"/>
      <c r="O226" s="74"/>
      <c r="P226" s="74"/>
      <c r="Q226" s="74"/>
      <c r="R226" s="73"/>
      <c r="S226" s="74"/>
      <c r="T226" s="73"/>
      <c r="U226" s="74"/>
    </row>
    <row r="227">
      <c r="D227" s="71"/>
      <c r="E227" s="73"/>
      <c r="N227" s="74"/>
      <c r="O227" s="74"/>
      <c r="P227" s="74"/>
      <c r="Q227" s="74"/>
      <c r="R227" s="73"/>
      <c r="S227" s="74"/>
      <c r="T227" s="73"/>
      <c r="U227" s="74"/>
    </row>
    <row r="228">
      <c r="D228" s="71"/>
      <c r="E228" s="73"/>
      <c r="N228" s="74"/>
      <c r="O228" s="74"/>
      <c r="P228" s="74"/>
      <c r="Q228" s="74"/>
      <c r="R228" s="73"/>
      <c r="S228" s="74"/>
      <c r="T228" s="73"/>
      <c r="U228" s="74"/>
    </row>
    <row r="229">
      <c r="D229" s="71"/>
      <c r="E229" s="73"/>
      <c r="N229" s="74"/>
      <c r="O229" s="74"/>
      <c r="P229" s="74"/>
      <c r="Q229" s="74"/>
      <c r="R229" s="73"/>
      <c r="S229" s="74"/>
      <c r="T229" s="73"/>
      <c r="U229" s="74"/>
    </row>
    <row r="230">
      <c r="D230" s="71"/>
      <c r="E230" s="73"/>
      <c r="N230" s="74"/>
      <c r="O230" s="74"/>
      <c r="P230" s="74"/>
      <c r="Q230" s="74"/>
      <c r="R230" s="73"/>
      <c r="S230" s="74"/>
      <c r="T230" s="73"/>
      <c r="U230" s="74"/>
    </row>
    <row r="231">
      <c r="D231" s="71"/>
      <c r="E231" s="73"/>
      <c r="N231" s="74"/>
      <c r="O231" s="74"/>
      <c r="P231" s="74"/>
      <c r="Q231" s="74"/>
      <c r="R231" s="73"/>
      <c r="S231" s="74"/>
      <c r="T231" s="73"/>
      <c r="U231" s="74"/>
    </row>
    <row r="232">
      <c r="D232" s="71"/>
      <c r="E232" s="73"/>
      <c r="N232" s="74"/>
      <c r="O232" s="74"/>
      <c r="P232" s="74"/>
      <c r="Q232" s="74"/>
      <c r="R232" s="73"/>
      <c r="S232" s="74"/>
      <c r="T232" s="73"/>
      <c r="U232" s="74"/>
    </row>
    <row r="233">
      <c r="D233" s="71"/>
      <c r="E233" s="73"/>
      <c r="N233" s="74"/>
      <c r="O233" s="74"/>
      <c r="P233" s="74"/>
      <c r="Q233" s="74"/>
      <c r="R233" s="73"/>
      <c r="S233" s="74"/>
      <c r="T233" s="73"/>
      <c r="U233" s="74"/>
    </row>
    <row r="234">
      <c r="D234" s="71"/>
      <c r="E234" s="73"/>
      <c r="N234" s="74"/>
      <c r="O234" s="74"/>
      <c r="P234" s="74"/>
      <c r="Q234" s="74"/>
      <c r="R234" s="73"/>
      <c r="S234" s="74"/>
      <c r="T234" s="73"/>
      <c r="U234" s="74"/>
    </row>
    <row r="235">
      <c r="D235" s="71"/>
      <c r="E235" s="73"/>
      <c r="N235" s="74"/>
      <c r="O235" s="74"/>
      <c r="P235" s="74"/>
      <c r="Q235" s="74"/>
      <c r="R235" s="73"/>
      <c r="S235" s="74"/>
      <c r="T235" s="73"/>
      <c r="U235" s="74"/>
    </row>
    <row r="236">
      <c r="D236" s="71"/>
      <c r="E236" s="73"/>
      <c r="N236" s="74"/>
      <c r="O236" s="74"/>
      <c r="P236" s="74"/>
      <c r="Q236" s="74"/>
      <c r="R236" s="73"/>
      <c r="S236" s="74"/>
      <c r="T236" s="73"/>
      <c r="U236" s="74"/>
    </row>
    <row r="237">
      <c r="D237" s="71"/>
      <c r="E237" s="73"/>
      <c r="N237" s="74"/>
      <c r="O237" s="74"/>
      <c r="P237" s="74"/>
      <c r="Q237" s="74"/>
      <c r="R237" s="73"/>
      <c r="S237" s="74"/>
      <c r="T237" s="73"/>
      <c r="U237" s="74"/>
    </row>
    <row r="238">
      <c r="D238" s="71"/>
      <c r="E238" s="73"/>
      <c r="N238" s="74"/>
      <c r="O238" s="74"/>
      <c r="P238" s="74"/>
      <c r="Q238" s="74"/>
      <c r="R238" s="73"/>
      <c r="S238" s="74"/>
      <c r="T238" s="73"/>
      <c r="U238" s="74"/>
    </row>
    <row r="239">
      <c r="D239" s="71"/>
      <c r="E239" s="73"/>
      <c r="N239" s="74"/>
      <c r="O239" s="74"/>
      <c r="P239" s="74"/>
      <c r="Q239" s="74"/>
      <c r="R239" s="73"/>
      <c r="S239" s="74"/>
      <c r="T239" s="73"/>
      <c r="U239" s="74"/>
    </row>
    <row r="240">
      <c r="D240" s="71"/>
      <c r="E240" s="73"/>
      <c r="N240" s="74"/>
      <c r="O240" s="74"/>
      <c r="P240" s="74"/>
      <c r="Q240" s="74"/>
      <c r="R240" s="73"/>
      <c r="S240" s="74"/>
      <c r="T240" s="73"/>
      <c r="U240" s="74"/>
    </row>
    <row r="241">
      <c r="D241" s="71"/>
      <c r="E241" s="73"/>
      <c r="N241" s="74"/>
      <c r="O241" s="74"/>
      <c r="P241" s="74"/>
      <c r="Q241" s="74"/>
      <c r="R241" s="73"/>
      <c r="S241" s="74"/>
      <c r="T241" s="73"/>
      <c r="U241" s="74"/>
    </row>
    <row r="242">
      <c r="D242" s="71"/>
      <c r="E242" s="73"/>
      <c r="N242" s="74"/>
      <c r="O242" s="74"/>
      <c r="P242" s="74"/>
      <c r="Q242" s="74"/>
      <c r="R242" s="73"/>
      <c r="S242" s="74"/>
      <c r="T242" s="73"/>
      <c r="U242" s="74"/>
    </row>
    <row r="243">
      <c r="D243" s="71"/>
      <c r="E243" s="73"/>
      <c r="N243" s="74"/>
      <c r="O243" s="74"/>
      <c r="P243" s="74"/>
      <c r="Q243" s="74"/>
      <c r="R243" s="73"/>
      <c r="S243" s="74"/>
      <c r="T243" s="73"/>
      <c r="U243" s="74"/>
    </row>
    <row r="244">
      <c r="D244" s="71"/>
      <c r="E244" s="73"/>
      <c r="N244" s="74"/>
      <c r="O244" s="74"/>
      <c r="P244" s="74"/>
      <c r="Q244" s="74"/>
      <c r="R244" s="73"/>
      <c r="S244" s="74"/>
      <c r="T244" s="73"/>
      <c r="U244" s="74"/>
    </row>
    <row r="245">
      <c r="D245" s="71"/>
      <c r="E245" s="73"/>
      <c r="N245" s="74"/>
      <c r="O245" s="74"/>
      <c r="P245" s="74"/>
      <c r="Q245" s="74"/>
      <c r="R245" s="73"/>
      <c r="S245" s="74"/>
      <c r="T245" s="73"/>
      <c r="U245" s="74"/>
    </row>
    <row r="246">
      <c r="D246" s="71"/>
      <c r="E246" s="73"/>
      <c r="N246" s="74"/>
      <c r="O246" s="74"/>
      <c r="P246" s="74"/>
      <c r="Q246" s="74"/>
      <c r="R246" s="73"/>
      <c r="S246" s="74"/>
      <c r="T246" s="73"/>
      <c r="U246" s="74"/>
    </row>
    <row r="247">
      <c r="D247" s="71"/>
      <c r="E247" s="73"/>
      <c r="N247" s="74"/>
      <c r="O247" s="74"/>
      <c r="P247" s="74"/>
      <c r="Q247" s="74"/>
      <c r="R247" s="73"/>
      <c r="S247" s="74"/>
      <c r="T247" s="73"/>
      <c r="U247" s="74"/>
    </row>
    <row r="248">
      <c r="D248" s="71"/>
      <c r="E248" s="73"/>
      <c r="N248" s="74"/>
      <c r="O248" s="74"/>
      <c r="P248" s="74"/>
      <c r="Q248" s="74"/>
      <c r="R248" s="73"/>
      <c r="S248" s="74"/>
      <c r="T248" s="73"/>
      <c r="U248" s="74"/>
    </row>
    <row r="249">
      <c r="D249" s="71"/>
      <c r="E249" s="73"/>
      <c r="N249" s="74"/>
      <c r="O249" s="74"/>
      <c r="P249" s="74"/>
      <c r="Q249" s="74"/>
      <c r="R249" s="73"/>
      <c r="S249" s="74"/>
      <c r="T249" s="73"/>
      <c r="U249" s="74"/>
    </row>
    <row r="250">
      <c r="D250" s="71"/>
      <c r="E250" s="73"/>
      <c r="N250" s="74"/>
      <c r="O250" s="74"/>
      <c r="P250" s="74"/>
      <c r="Q250" s="74"/>
      <c r="R250" s="73"/>
      <c r="S250" s="74"/>
      <c r="T250" s="73"/>
      <c r="U250" s="74"/>
    </row>
    <row r="251">
      <c r="D251" s="71"/>
      <c r="E251" s="73"/>
      <c r="N251" s="74"/>
      <c r="O251" s="74"/>
      <c r="P251" s="74"/>
      <c r="Q251" s="74"/>
      <c r="R251" s="73"/>
      <c r="S251" s="74"/>
      <c r="T251" s="73"/>
      <c r="U251" s="74"/>
    </row>
    <row r="252">
      <c r="D252" s="71"/>
      <c r="E252" s="73"/>
      <c r="N252" s="74"/>
      <c r="O252" s="74"/>
      <c r="P252" s="74"/>
      <c r="Q252" s="74"/>
      <c r="R252" s="73"/>
      <c r="S252" s="74"/>
      <c r="T252" s="73"/>
      <c r="U252" s="74"/>
    </row>
    <row r="253">
      <c r="D253" s="71"/>
      <c r="E253" s="73"/>
      <c r="N253" s="74"/>
      <c r="O253" s="74"/>
      <c r="P253" s="74"/>
      <c r="Q253" s="74"/>
      <c r="R253" s="73"/>
      <c r="S253" s="74"/>
      <c r="T253" s="73"/>
      <c r="U253" s="74"/>
    </row>
    <row r="254">
      <c r="D254" s="71"/>
      <c r="E254" s="73"/>
      <c r="N254" s="74"/>
      <c r="O254" s="74"/>
      <c r="P254" s="74"/>
      <c r="Q254" s="74"/>
      <c r="R254" s="73"/>
      <c r="S254" s="74"/>
      <c r="T254" s="73"/>
      <c r="U254" s="74"/>
    </row>
    <row r="255">
      <c r="D255" s="71"/>
      <c r="E255" s="73"/>
      <c r="N255" s="74"/>
      <c r="O255" s="74"/>
      <c r="P255" s="74"/>
      <c r="Q255" s="74"/>
      <c r="R255" s="73"/>
      <c r="S255" s="74"/>
      <c r="T255" s="73"/>
      <c r="U255" s="74"/>
    </row>
    <row r="256">
      <c r="D256" s="71"/>
      <c r="E256" s="73"/>
      <c r="N256" s="74"/>
      <c r="O256" s="74"/>
      <c r="P256" s="74"/>
      <c r="Q256" s="74"/>
      <c r="R256" s="73"/>
      <c r="S256" s="74"/>
      <c r="T256" s="73"/>
      <c r="U256" s="74"/>
    </row>
    <row r="257">
      <c r="D257" s="71"/>
      <c r="E257" s="73"/>
      <c r="N257" s="74"/>
      <c r="O257" s="74"/>
      <c r="P257" s="74"/>
      <c r="Q257" s="74"/>
      <c r="R257" s="73"/>
      <c r="S257" s="74"/>
      <c r="T257" s="73"/>
      <c r="U257" s="74"/>
    </row>
    <row r="258">
      <c r="D258" s="71"/>
      <c r="E258" s="73"/>
      <c r="N258" s="74"/>
      <c r="O258" s="74"/>
      <c r="P258" s="74"/>
      <c r="Q258" s="74"/>
      <c r="R258" s="73"/>
      <c r="S258" s="74"/>
      <c r="T258" s="73"/>
      <c r="U258" s="74"/>
    </row>
    <row r="259">
      <c r="D259" s="71"/>
      <c r="E259" s="73"/>
      <c r="N259" s="74"/>
      <c r="O259" s="74"/>
      <c r="P259" s="74"/>
      <c r="Q259" s="74"/>
      <c r="R259" s="73"/>
      <c r="S259" s="74"/>
      <c r="T259" s="73"/>
      <c r="U259" s="74"/>
    </row>
    <row r="260">
      <c r="D260" s="71"/>
      <c r="E260" s="73"/>
      <c r="N260" s="74"/>
      <c r="O260" s="74"/>
      <c r="P260" s="74"/>
      <c r="Q260" s="74"/>
      <c r="R260" s="73"/>
      <c r="S260" s="74"/>
      <c r="T260" s="73"/>
      <c r="U260" s="74"/>
    </row>
    <row r="261">
      <c r="D261" s="71"/>
      <c r="E261" s="73"/>
      <c r="N261" s="74"/>
      <c r="O261" s="74"/>
      <c r="P261" s="74"/>
      <c r="Q261" s="74"/>
      <c r="R261" s="73"/>
      <c r="S261" s="74"/>
      <c r="T261" s="73"/>
      <c r="U261" s="74"/>
    </row>
    <row r="262">
      <c r="D262" s="71"/>
      <c r="E262" s="73"/>
      <c r="N262" s="74"/>
      <c r="O262" s="74"/>
      <c r="P262" s="74"/>
      <c r="Q262" s="74"/>
      <c r="R262" s="73"/>
      <c r="S262" s="74"/>
      <c r="T262" s="73"/>
      <c r="U262" s="74"/>
    </row>
    <row r="263">
      <c r="D263" s="71"/>
      <c r="E263" s="73"/>
      <c r="N263" s="74"/>
      <c r="O263" s="74"/>
      <c r="P263" s="74"/>
      <c r="Q263" s="74"/>
      <c r="R263" s="73"/>
      <c r="S263" s="74"/>
      <c r="T263" s="73"/>
      <c r="U263" s="74"/>
    </row>
    <row r="264">
      <c r="D264" s="71"/>
      <c r="E264" s="73"/>
      <c r="N264" s="74"/>
      <c r="O264" s="74"/>
      <c r="P264" s="74"/>
      <c r="Q264" s="74"/>
      <c r="R264" s="73"/>
      <c r="S264" s="74"/>
      <c r="T264" s="73"/>
      <c r="U264" s="74"/>
    </row>
    <row r="265">
      <c r="D265" s="71"/>
      <c r="E265" s="73"/>
      <c r="N265" s="74"/>
      <c r="O265" s="74"/>
      <c r="P265" s="74"/>
      <c r="Q265" s="74"/>
      <c r="R265" s="73"/>
      <c r="S265" s="74"/>
      <c r="T265" s="73"/>
      <c r="U265" s="74"/>
    </row>
    <row r="266">
      <c r="D266" s="71"/>
      <c r="E266" s="73"/>
      <c r="N266" s="74"/>
      <c r="O266" s="74"/>
      <c r="P266" s="74"/>
      <c r="Q266" s="74"/>
      <c r="R266" s="73"/>
      <c r="S266" s="74"/>
      <c r="T266" s="73"/>
      <c r="U266" s="74"/>
    </row>
    <row r="267">
      <c r="D267" s="71"/>
      <c r="E267" s="73"/>
      <c r="N267" s="74"/>
      <c r="O267" s="74"/>
      <c r="P267" s="74"/>
      <c r="Q267" s="74"/>
      <c r="R267" s="73"/>
      <c r="S267" s="74"/>
      <c r="T267" s="73"/>
      <c r="U267" s="74"/>
    </row>
    <row r="268">
      <c r="D268" s="71"/>
      <c r="E268" s="73"/>
      <c r="N268" s="74"/>
      <c r="O268" s="74"/>
      <c r="P268" s="74"/>
      <c r="Q268" s="74"/>
      <c r="R268" s="73"/>
      <c r="S268" s="74"/>
      <c r="T268" s="73"/>
      <c r="U268" s="74"/>
    </row>
    <row r="269">
      <c r="D269" s="71"/>
      <c r="E269" s="73"/>
      <c r="N269" s="74"/>
      <c r="O269" s="74"/>
      <c r="P269" s="74"/>
      <c r="Q269" s="74"/>
      <c r="R269" s="73"/>
      <c r="S269" s="74"/>
      <c r="T269" s="73"/>
      <c r="U269" s="74"/>
    </row>
    <row r="270">
      <c r="D270" s="71"/>
      <c r="E270" s="73"/>
      <c r="N270" s="74"/>
      <c r="O270" s="74"/>
      <c r="P270" s="74"/>
      <c r="Q270" s="74"/>
      <c r="R270" s="73"/>
      <c r="S270" s="74"/>
      <c r="T270" s="73"/>
      <c r="U270" s="74"/>
    </row>
    <row r="271">
      <c r="D271" s="71"/>
      <c r="E271" s="73"/>
      <c r="N271" s="74"/>
      <c r="O271" s="74"/>
      <c r="P271" s="74"/>
      <c r="Q271" s="74"/>
      <c r="R271" s="73"/>
      <c r="S271" s="74"/>
      <c r="T271" s="73"/>
      <c r="U271" s="74"/>
    </row>
    <row r="272">
      <c r="D272" s="71"/>
      <c r="E272" s="73"/>
      <c r="N272" s="74"/>
      <c r="O272" s="74"/>
      <c r="P272" s="74"/>
      <c r="Q272" s="74"/>
      <c r="R272" s="73"/>
      <c r="S272" s="74"/>
      <c r="T272" s="73"/>
      <c r="U272" s="74"/>
    </row>
    <row r="273">
      <c r="D273" s="71"/>
      <c r="E273" s="73"/>
      <c r="N273" s="74"/>
      <c r="O273" s="74"/>
      <c r="P273" s="74"/>
      <c r="Q273" s="74"/>
      <c r="R273" s="73"/>
      <c r="S273" s="74"/>
      <c r="T273" s="73"/>
      <c r="U273" s="74"/>
    </row>
    <row r="274">
      <c r="D274" s="71"/>
      <c r="E274" s="73"/>
      <c r="N274" s="74"/>
      <c r="O274" s="74"/>
      <c r="P274" s="74"/>
      <c r="Q274" s="74"/>
      <c r="R274" s="73"/>
      <c r="S274" s="74"/>
      <c r="T274" s="73"/>
      <c r="U274" s="74"/>
    </row>
    <row r="275">
      <c r="D275" s="71"/>
      <c r="E275" s="73"/>
      <c r="N275" s="74"/>
      <c r="O275" s="74"/>
      <c r="P275" s="74"/>
      <c r="Q275" s="74"/>
      <c r="R275" s="73"/>
      <c r="S275" s="74"/>
      <c r="T275" s="73"/>
      <c r="U275" s="74"/>
    </row>
    <row r="276">
      <c r="D276" s="71"/>
      <c r="E276" s="73"/>
      <c r="N276" s="74"/>
      <c r="O276" s="74"/>
      <c r="P276" s="74"/>
      <c r="Q276" s="74"/>
      <c r="R276" s="73"/>
      <c r="S276" s="74"/>
      <c r="T276" s="73"/>
      <c r="U276" s="74"/>
    </row>
    <row r="277">
      <c r="D277" s="71"/>
      <c r="E277" s="73"/>
      <c r="N277" s="74"/>
      <c r="O277" s="74"/>
      <c r="P277" s="74"/>
      <c r="Q277" s="74"/>
      <c r="R277" s="73"/>
      <c r="S277" s="74"/>
      <c r="T277" s="73"/>
      <c r="U277" s="74"/>
    </row>
    <row r="278">
      <c r="D278" s="71"/>
      <c r="E278" s="73"/>
      <c r="N278" s="74"/>
      <c r="O278" s="74"/>
      <c r="P278" s="74"/>
      <c r="Q278" s="74"/>
      <c r="R278" s="73"/>
      <c r="S278" s="74"/>
      <c r="T278" s="73"/>
      <c r="U278" s="74"/>
    </row>
    <row r="279">
      <c r="D279" s="71"/>
      <c r="E279" s="73"/>
      <c r="N279" s="74"/>
      <c r="O279" s="74"/>
      <c r="P279" s="74"/>
      <c r="Q279" s="74"/>
      <c r="R279" s="73"/>
      <c r="S279" s="74"/>
      <c r="T279" s="73"/>
      <c r="U279" s="74"/>
    </row>
    <row r="280">
      <c r="D280" s="71"/>
      <c r="E280" s="73"/>
      <c r="N280" s="74"/>
      <c r="O280" s="74"/>
      <c r="P280" s="74"/>
      <c r="Q280" s="74"/>
      <c r="R280" s="73"/>
      <c r="S280" s="74"/>
      <c r="T280" s="73"/>
      <c r="U280" s="74"/>
    </row>
    <row r="281">
      <c r="D281" s="71"/>
      <c r="E281" s="73"/>
      <c r="N281" s="74"/>
      <c r="O281" s="74"/>
      <c r="P281" s="74"/>
      <c r="Q281" s="74"/>
      <c r="R281" s="73"/>
      <c r="S281" s="74"/>
      <c r="T281" s="73"/>
      <c r="U281" s="74"/>
    </row>
    <row r="282">
      <c r="D282" s="71"/>
      <c r="E282" s="73"/>
      <c r="N282" s="74"/>
      <c r="O282" s="74"/>
      <c r="P282" s="74"/>
      <c r="Q282" s="74"/>
      <c r="R282" s="73"/>
      <c r="S282" s="74"/>
      <c r="T282" s="73"/>
      <c r="U282" s="74"/>
    </row>
    <row r="283">
      <c r="D283" s="71"/>
      <c r="E283" s="73"/>
      <c r="N283" s="74"/>
      <c r="O283" s="74"/>
      <c r="P283" s="74"/>
      <c r="Q283" s="74"/>
      <c r="R283" s="73"/>
      <c r="S283" s="74"/>
      <c r="T283" s="73"/>
      <c r="U283" s="74"/>
    </row>
    <row r="284">
      <c r="D284" s="71"/>
      <c r="E284" s="73"/>
      <c r="N284" s="74"/>
      <c r="O284" s="74"/>
      <c r="P284" s="74"/>
      <c r="Q284" s="74"/>
      <c r="R284" s="73"/>
      <c r="S284" s="74"/>
      <c r="T284" s="73"/>
      <c r="U284" s="74"/>
    </row>
    <row r="285">
      <c r="D285" s="71"/>
      <c r="E285" s="73"/>
      <c r="N285" s="74"/>
      <c r="O285" s="74"/>
      <c r="P285" s="74"/>
      <c r="Q285" s="74"/>
      <c r="R285" s="73"/>
      <c r="S285" s="74"/>
      <c r="T285" s="73"/>
      <c r="U285" s="74"/>
    </row>
    <row r="286">
      <c r="D286" s="71"/>
      <c r="E286" s="73"/>
      <c r="N286" s="74"/>
      <c r="O286" s="74"/>
      <c r="P286" s="74"/>
      <c r="Q286" s="74"/>
      <c r="R286" s="73"/>
      <c r="S286" s="74"/>
      <c r="T286" s="73"/>
      <c r="U286" s="74"/>
    </row>
    <row r="287">
      <c r="D287" s="71"/>
      <c r="E287" s="73"/>
      <c r="N287" s="74"/>
      <c r="O287" s="74"/>
      <c r="P287" s="74"/>
      <c r="Q287" s="74"/>
      <c r="R287" s="73"/>
      <c r="S287" s="74"/>
      <c r="T287" s="73"/>
      <c r="U287" s="74"/>
    </row>
    <row r="288">
      <c r="D288" s="71"/>
      <c r="E288" s="73"/>
      <c r="N288" s="74"/>
      <c r="O288" s="74"/>
      <c r="P288" s="74"/>
      <c r="Q288" s="74"/>
      <c r="R288" s="73"/>
      <c r="S288" s="74"/>
      <c r="T288" s="73"/>
      <c r="U288" s="74"/>
    </row>
    <row r="289">
      <c r="D289" s="71"/>
      <c r="E289" s="73"/>
      <c r="N289" s="74"/>
      <c r="O289" s="74"/>
      <c r="P289" s="74"/>
      <c r="Q289" s="74"/>
      <c r="R289" s="73"/>
      <c r="S289" s="74"/>
      <c r="T289" s="73"/>
      <c r="U289" s="74"/>
    </row>
    <row r="290">
      <c r="D290" s="71"/>
      <c r="E290" s="73"/>
      <c r="N290" s="74"/>
      <c r="O290" s="74"/>
      <c r="P290" s="74"/>
      <c r="Q290" s="74"/>
      <c r="R290" s="73"/>
      <c r="S290" s="74"/>
      <c r="T290" s="73"/>
      <c r="U290" s="74"/>
    </row>
    <row r="291">
      <c r="D291" s="71"/>
      <c r="E291" s="73"/>
      <c r="N291" s="74"/>
      <c r="O291" s="74"/>
      <c r="P291" s="74"/>
      <c r="Q291" s="74"/>
      <c r="R291" s="73"/>
      <c r="S291" s="74"/>
      <c r="T291" s="73"/>
      <c r="U291" s="74"/>
    </row>
    <row r="292">
      <c r="D292" s="71"/>
      <c r="E292" s="73"/>
      <c r="N292" s="74"/>
      <c r="O292" s="74"/>
      <c r="P292" s="74"/>
      <c r="Q292" s="74"/>
      <c r="R292" s="73"/>
      <c r="S292" s="74"/>
      <c r="T292" s="73"/>
      <c r="U292" s="74"/>
    </row>
    <row r="293">
      <c r="D293" s="71"/>
      <c r="E293" s="73"/>
      <c r="N293" s="74"/>
      <c r="O293" s="74"/>
      <c r="P293" s="74"/>
      <c r="Q293" s="74"/>
      <c r="R293" s="73"/>
      <c r="S293" s="74"/>
      <c r="T293" s="73"/>
      <c r="U293" s="74"/>
    </row>
    <row r="294">
      <c r="D294" s="71"/>
      <c r="E294" s="73"/>
      <c r="N294" s="74"/>
      <c r="O294" s="74"/>
      <c r="P294" s="74"/>
      <c r="Q294" s="74"/>
      <c r="R294" s="73"/>
      <c r="S294" s="74"/>
      <c r="T294" s="73"/>
      <c r="U294" s="74"/>
    </row>
    <row r="295">
      <c r="D295" s="71"/>
      <c r="E295" s="73"/>
      <c r="N295" s="74"/>
      <c r="O295" s="74"/>
      <c r="P295" s="74"/>
      <c r="Q295" s="74"/>
      <c r="R295" s="73"/>
      <c r="S295" s="74"/>
      <c r="T295" s="73"/>
      <c r="U295" s="74"/>
    </row>
    <row r="296">
      <c r="D296" s="71"/>
      <c r="E296" s="73"/>
      <c r="N296" s="74"/>
      <c r="O296" s="74"/>
      <c r="P296" s="74"/>
      <c r="Q296" s="74"/>
      <c r="R296" s="73"/>
      <c r="S296" s="74"/>
      <c r="T296" s="73"/>
      <c r="U296" s="74"/>
    </row>
    <row r="297">
      <c r="D297" s="71"/>
      <c r="E297" s="73"/>
      <c r="N297" s="74"/>
      <c r="O297" s="74"/>
      <c r="P297" s="74"/>
      <c r="Q297" s="74"/>
      <c r="R297" s="73"/>
      <c r="S297" s="74"/>
      <c r="T297" s="73"/>
      <c r="U297" s="74"/>
    </row>
    <row r="298">
      <c r="D298" s="71"/>
      <c r="E298" s="73"/>
      <c r="N298" s="74"/>
      <c r="O298" s="74"/>
      <c r="P298" s="74"/>
      <c r="Q298" s="74"/>
      <c r="R298" s="73"/>
      <c r="S298" s="74"/>
      <c r="T298" s="73"/>
      <c r="U298" s="74"/>
    </row>
    <row r="299">
      <c r="D299" s="71"/>
      <c r="E299" s="73"/>
      <c r="N299" s="74"/>
      <c r="O299" s="74"/>
      <c r="P299" s="74"/>
      <c r="Q299" s="74"/>
      <c r="R299" s="73"/>
      <c r="S299" s="74"/>
      <c r="T299" s="73"/>
      <c r="U299" s="74"/>
    </row>
    <row r="300">
      <c r="D300" s="71"/>
      <c r="E300" s="73"/>
      <c r="N300" s="74"/>
      <c r="O300" s="74"/>
      <c r="P300" s="74"/>
      <c r="Q300" s="74"/>
      <c r="R300" s="73"/>
      <c r="S300" s="74"/>
      <c r="T300" s="73"/>
      <c r="U300" s="74"/>
    </row>
    <row r="301">
      <c r="D301" s="71"/>
      <c r="E301" s="73"/>
      <c r="N301" s="74"/>
      <c r="O301" s="74"/>
      <c r="P301" s="74"/>
      <c r="Q301" s="74"/>
      <c r="R301" s="73"/>
      <c r="S301" s="74"/>
      <c r="T301" s="73"/>
      <c r="U301" s="74"/>
    </row>
    <row r="302">
      <c r="D302" s="71"/>
      <c r="E302" s="73"/>
      <c r="N302" s="74"/>
      <c r="O302" s="74"/>
      <c r="P302" s="74"/>
      <c r="Q302" s="74"/>
      <c r="R302" s="73"/>
      <c r="S302" s="74"/>
      <c r="T302" s="73"/>
      <c r="U302" s="74"/>
    </row>
    <row r="303">
      <c r="D303" s="71"/>
      <c r="E303" s="73"/>
      <c r="N303" s="74"/>
      <c r="O303" s="74"/>
      <c r="P303" s="74"/>
      <c r="Q303" s="74"/>
      <c r="R303" s="73"/>
      <c r="S303" s="74"/>
      <c r="T303" s="73"/>
      <c r="U303" s="74"/>
    </row>
    <row r="304">
      <c r="D304" s="71"/>
      <c r="E304" s="73"/>
      <c r="N304" s="74"/>
      <c r="O304" s="74"/>
      <c r="P304" s="74"/>
      <c r="Q304" s="74"/>
      <c r="R304" s="73"/>
      <c r="S304" s="74"/>
      <c r="T304" s="73"/>
      <c r="U304" s="74"/>
    </row>
    <row r="305">
      <c r="D305" s="71"/>
      <c r="E305" s="73"/>
      <c r="N305" s="74"/>
      <c r="O305" s="74"/>
      <c r="P305" s="74"/>
      <c r="Q305" s="74"/>
      <c r="R305" s="73"/>
      <c r="S305" s="74"/>
      <c r="T305" s="73"/>
      <c r="U305" s="74"/>
    </row>
    <row r="306">
      <c r="D306" s="71"/>
      <c r="E306" s="73"/>
      <c r="N306" s="74"/>
      <c r="O306" s="74"/>
      <c r="P306" s="74"/>
      <c r="Q306" s="74"/>
      <c r="R306" s="73"/>
      <c r="S306" s="74"/>
      <c r="T306" s="73"/>
      <c r="U306" s="74"/>
    </row>
    <row r="307">
      <c r="D307" s="71"/>
      <c r="E307" s="73"/>
      <c r="N307" s="74"/>
      <c r="O307" s="74"/>
      <c r="P307" s="74"/>
      <c r="Q307" s="74"/>
      <c r="R307" s="73"/>
      <c r="S307" s="74"/>
      <c r="T307" s="73"/>
      <c r="U307" s="74"/>
    </row>
    <row r="308">
      <c r="D308" s="71"/>
      <c r="E308" s="73"/>
      <c r="N308" s="74"/>
      <c r="O308" s="74"/>
      <c r="P308" s="74"/>
      <c r="Q308" s="74"/>
      <c r="R308" s="73"/>
      <c r="S308" s="74"/>
      <c r="T308" s="73"/>
      <c r="U308" s="74"/>
    </row>
    <row r="309">
      <c r="D309" s="71"/>
      <c r="E309" s="73"/>
      <c r="N309" s="74"/>
      <c r="O309" s="74"/>
      <c r="P309" s="74"/>
      <c r="Q309" s="74"/>
      <c r="R309" s="73"/>
      <c r="S309" s="74"/>
      <c r="T309" s="73"/>
      <c r="U309" s="74"/>
    </row>
    <row r="310">
      <c r="D310" s="71"/>
      <c r="E310" s="73"/>
      <c r="N310" s="74"/>
      <c r="O310" s="74"/>
      <c r="P310" s="74"/>
      <c r="Q310" s="74"/>
      <c r="R310" s="73"/>
      <c r="S310" s="74"/>
      <c r="T310" s="73"/>
      <c r="U310" s="74"/>
    </row>
    <row r="311">
      <c r="D311" s="71"/>
      <c r="E311" s="73"/>
      <c r="N311" s="74"/>
      <c r="O311" s="74"/>
      <c r="P311" s="74"/>
      <c r="Q311" s="74"/>
      <c r="R311" s="73"/>
      <c r="S311" s="74"/>
      <c r="T311" s="73"/>
      <c r="U311" s="74"/>
    </row>
    <row r="312">
      <c r="D312" s="71"/>
      <c r="E312" s="73"/>
      <c r="N312" s="74"/>
      <c r="O312" s="74"/>
      <c r="P312" s="74"/>
      <c r="Q312" s="74"/>
      <c r="R312" s="73"/>
      <c r="S312" s="74"/>
      <c r="T312" s="73"/>
      <c r="U312" s="74"/>
    </row>
    <row r="313">
      <c r="D313" s="71"/>
      <c r="E313" s="73"/>
      <c r="N313" s="74"/>
      <c r="O313" s="74"/>
      <c r="P313" s="74"/>
      <c r="Q313" s="74"/>
      <c r="R313" s="73"/>
      <c r="S313" s="74"/>
      <c r="T313" s="73"/>
      <c r="U313" s="74"/>
    </row>
    <row r="314">
      <c r="D314" s="71"/>
      <c r="E314" s="73"/>
      <c r="N314" s="74"/>
      <c r="O314" s="74"/>
      <c r="P314" s="74"/>
      <c r="Q314" s="74"/>
      <c r="R314" s="73"/>
      <c r="S314" s="74"/>
      <c r="T314" s="73"/>
      <c r="U314" s="74"/>
    </row>
    <row r="315">
      <c r="D315" s="71"/>
      <c r="E315" s="73"/>
      <c r="N315" s="74"/>
      <c r="O315" s="74"/>
      <c r="P315" s="74"/>
      <c r="Q315" s="74"/>
      <c r="R315" s="73"/>
      <c r="S315" s="74"/>
      <c r="T315" s="73"/>
      <c r="U315" s="74"/>
    </row>
    <row r="316">
      <c r="D316" s="71"/>
      <c r="E316" s="73"/>
      <c r="N316" s="74"/>
      <c r="O316" s="74"/>
      <c r="P316" s="74"/>
      <c r="Q316" s="74"/>
      <c r="R316" s="73"/>
      <c r="S316" s="74"/>
      <c r="T316" s="73"/>
      <c r="U316" s="74"/>
    </row>
    <row r="317">
      <c r="D317" s="71"/>
      <c r="E317" s="73"/>
      <c r="N317" s="74"/>
      <c r="O317" s="74"/>
      <c r="P317" s="74"/>
      <c r="Q317" s="74"/>
      <c r="R317" s="73"/>
      <c r="S317" s="74"/>
      <c r="T317" s="73"/>
      <c r="U317" s="74"/>
    </row>
    <row r="318">
      <c r="D318" s="71"/>
      <c r="E318" s="73"/>
      <c r="N318" s="74"/>
      <c r="O318" s="74"/>
      <c r="P318" s="74"/>
      <c r="Q318" s="74"/>
      <c r="R318" s="73"/>
      <c r="S318" s="74"/>
      <c r="T318" s="73"/>
      <c r="U318" s="74"/>
    </row>
    <row r="319">
      <c r="D319" s="71"/>
      <c r="E319" s="73"/>
      <c r="N319" s="74"/>
      <c r="O319" s="74"/>
      <c r="P319" s="74"/>
      <c r="Q319" s="74"/>
      <c r="R319" s="73"/>
      <c r="S319" s="74"/>
      <c r="T319" s="73"/>
      <c r="U319" s="74"/>
    </row>
    <row r="320">
      <c r="D320" s="71"/>
      <c r="E320" s="73"/>
      <c r="N320" s="74"/>
      <c r="O320" s="74"/>
      <c r="P320" s="74"/>
      <c r="Q320" s="74"/>
      <c r="R320" s="73"/>
      <c r="S320" s="74"/>
      <c r="T320" s="73"/>
      <c r="U320" s="74"/>
    </row>
    <row r="321">
      <c r="D321" s="71"/>
      <c r="E321" s="73"/>
      <c r="N321" s="74"/>
      <c r="O321" s="74"/>
      <c r="P321" s="74"/>
      <c r="Q321" s="74"/>
      <c r="R321" s="73"/>
      <c r="S321" s="74"/>
      <c r="T321" s="73"/>
      <c r="U321" s="74"/>
    </row>
    <row r="322">
      <c r="D322" s="71"/>
      <c r="E322" s="73"/>
      <c r="N322" s="74"/>
      <c r="O322" s="74"/>
      <c r="P322" s="74"/>
      <c r="Q322" s="74"/>
      <c r="R322" s="73"/>
      <c r="S322" s="74"/>
      <c r="T322" s="73"/>
      <c r="U322" s="74"/>
    </row>
    <row r="323">
      <c r="D323" s="71"/>
      <c r="E323" s="73"/>
      <c r="N323" s="74"/>
      <c r="O323" s="74"/>
      <c r="P323" s="74"/>
      <c r="Q323" s="74"/>
      <c r="R323" s="73"/>
      <c r="S323" s="74"/>
      <c r="T323" s="73"/>
      <c r="U323" s="74"/>
    </row>
    <row r="324">
      <c r="D324" s="71"/>
      <c r="E324" s="73"/>
      <c r="N324" s="74"/>
      <c r="O324" s="74"/>
      <c r="P324" s="74"/>
      <c r="Q324" s="74"/>
      <c r="R324" s="73"/>
      <c r="S324" s="74"/>
      <c r="T324" s="73"/>
      <c r="U324" s="74"/>
    </row>
    <row r="325">
      <c r="D325" s="71"/>
      <c r="E325" s="73"/>
      <c r="N325" s="74"/>
      <c r="O325" s="74"/>
      <c r="P325" s="74"/>
      <c r="Q325" s="74"/>
      <c r="R325" s="73"/>
      <c r="S325" s="74"/>
      <c r="T325" s="73"/>
      <c r="U325" s="74"/>
    </row>
    <row r="326">
      <c r="D326" s="71"/>
      <c r="E326" s="73"/>
      <c r="N326" s="74"/>
      <c r="O326" s="74"/>
      <c r="P326" s="74"/>
      <c r="Q326" s="74"/>
      <c r="R326" s="73"/>
      <c r="S326" s="74"/>
      <c r="T326" s="73"/>
      <c r="U326" s="74"/>
    </row>
    <row r="327">
      <c r="D327" s="71"/>
      <c r="E327" s="73"/>
      <c r="N327" s="74"/>
      <c r="O327" s="74"/>
      <c r="P327" s="74"/>
      <c r="Q327" s="74"/>
      <c r="R327" s="73"/>
      <c r="S327" s="74"/>
      <c r="T327" s="73"/>
      <c r="U327" s="74"/>
    </row>
    <row r="328">
      <c r="D328" s="71"/>
      <c r="E328" s="73"/>
      <c r="N328" s="74"/>
      <c r="O328" s="74"/>
      <c r="P328" s="74"/>
      <c r="Q328" s="74"/>
      <c r="R328" s="73"/>
      <c r="S328" s="74"/>
      <c r="T328" s="73"/>
      <c r="U328" s="74"/>
    </row>
    <row r="329">
      <c r="D329" s="71"/>
      <c r="E329" s="73"/>
      <c r="N329" s="74"/>
      <c r="O329" s="74"/>
      <c r="P329" s="74"/>
      <c r="Q329" s="74"/>
      <c r="R329" s="73"/>
      <c r="S329" s="74"/>
      <c r="T329" s="73"/>
      <c r="U329" s="74"/>
    </row>
    <row r="330">
      <c r="D330" s="71"/>
      <c r="E330" s="73"/>
      <c r="N330" s="74"/>
      <c r="O330" s="74"/>
      <c r="P330" s="74"/>
      <c r="Q330" s="74"/>
      <c r="R330" s="73"/>
      <c r="S330" s="74"/>
      <c r="T330" s="73"/>
      <c r="U330" s="74"/>
    </row>
    <row r="331">
      <c r="D331" s="71"/>
      <c r="E331" s="73"/>
      <c r="N331" s="74"/>
      <c r="O331" s="74"/>
      <c r="P331" s="74"/>
      <c r="Q331" s="74"/>
      <c r="R331" s="73"/>
      <c r="S331" s="74"/>
      <c r="T331" s="73"/>
      <c r="U331" s="74"/>
    </row>
    <row r="332">
      <c r="D332" s="71"/>
      <c r="E332" s="73"/>
      <c r="N332" s="74"/>
      <c r="O332" s="74"/>
      <c r="P332" s="74"/>
      <c r="Q332" s="74"/>
      <c r="R332" s="73"/>
      <c r="S332" s="74"/>
      <c r="T332" s="73"/>
      <c r="U332" s="74"/>
    </row>
    <row r="333">
      <c r="D333" s="71"/>
      <c r="E333" s="73"/>
      <c r="N333" s="74"/>
      <c r="O333" s="74"/>
      <c r="P333" s="74"/>
      <c r="Q333" s="74"/>
      <c r="R333" s="73"/>
      <c r="S333" s="74"/>
      <c r="T333" s="73"/>
      <c r="U333" s="74"/>
    </row>
    <row r="334">
      <c r="D334" s="71"/>
      <c r="E334" s="73"/>
      <c r="N334" s="74"/>
      <c r="O334" s="74"/>
      <c r="P334" s="74"/>
      <c r="Q334" s="74"/>
      <c r="R334" s="73"/>
      <c r="S334" s="74"/>
      <c r="T334" s="73"/>
      <c r="U334" s="74"/>
    </row>
    <row r="335">
      <c r="D335" s="71"/>
      <c r="E335" s="73"/>
      <c r="N335" s="74"/>
      <c r="O335" s="74"/>
      <c r="P335" s="74"/>
      <c r="Q335" s="74"/>
      <c r="R335" s="73"/>
      <c r="S335" s="74"/>
      <c r="T335" s="73"/>
      <c r="U335" s="74"/>
    </row>
    <row r="336">
      <c r="D336" s="71"/>
      <c r="E336" s="73"/>
      <c r="N336" s="74"/>
      <c r="O336" s="74"/>
      <c r="P336" s="74"/>
      <c r="Q336" s="74"/>
      <c r="R336" s="73"/>
      <c r="S336" s="74"/>
      <c r="T336" s="73"/>
      <c r="U336" s="74"/>
    </row>
    <row r="337">
      <c r="D337" s="71"/>
      <c r="E337" s="73"/>
      <c r="N337" s="74"/>
      <c r="O337" s="74"/>
      <c r="P337" s="74"/>
      <c r="Q337" s="74"/>
      <c r="R337" s="73"/>
      <c r="S337" s="74"/>
      <c r="T337" s="73"/>
      <c r="U337" s="74"/>
    </row>
    <row r="338">
      <c r="D338" s="71"/>
      <c r="E338" s="73"/>
      <c r="N338" s="74"/>
      <c r="O338" s="74"/>
      <c r="P338" s="74"/>
      <c r="Q338" s="74"/>
      <c r="R338" s="73"/>
      <c r="S338" s="74"/>
      <c r="T338" s="73"/>
      <c r="U338" s="74"/>
    </row>
    <row r="339">
      <c r="D339" s="71"/>
      <c r="E339" s="73"/>
      <c r="N339" s="74"/>
      <c r="O339" s="74"/>
      <c r="P339" s="74"/>
      <c r="Q339" s="74"/>
      <c r="R339" s="73"/>
      <c r="S339" s="74"/>
      <c r="T339" s="73"/>
      <c r="U339" s="74"/>
    </row>
    <row r="340">
      <c r="D340" s="71"/>
      <c r="E340" s="73"/>
      <c r="N340" s="74"/>
      <c r="O340" s="74"/>
      <c r="P340" s="74"/>
      <c r="Q340" s="74"/>
      <c r="R340" s="73"/>
      <c r="S340" s="74"/>
      <c r="T340" s="73"/>
      <c r="U340" s="74"/>
    </row>
    <row r="341">
      <c r="D341" s="71"/>
      <c r="E341" s="73"/>
      <c r="N341" s="74"/>
      <c r="O341" s="74"/>
      <c r="P341" s="74"/>
      <c r="Q341" s="74"/>
      <c r="R341" s="73"/>
      <c r="S341" s="74"/>
      <c r="T341" s="73"/>
      <c r="U341" s="74"/>
    </row>
    <row r="342">
      <c r="D342" s="71"/>
      <c r="E342" s="73"/>
      <c r="N342" s="74"/>
      <c r="O342" s="74"/>
      <c r="P342" s="74"/>
      <c r="Q342" s="74"/>
      <c r="R342" s="73"/>
      <c r="S342" s="74"/>
      <c r="T342" s="73"/>
      <c r="U342" s="74"/>
    </row>
    <row r="343">
      <c r="D343" s="71"/>
      <c r="E343" s="73"/>
      <c r="N343" s="74"/>
      <c r="O343" s="74"/>
      <c r="P343" s="74"/>
      <c r="Q343" s="74"/>
      <c r="R343" s="73"/>
      <c r="S343" s="74"/>
      <c r="T343" s="73"/>
      <c r="U343" s="74"/>
    </row>
    <row r="344">
      <c r="D344" s="71"/>
      <c r="E344" s="73"/>
      <c r="N344" s="74"/>
      <c r="O344" s="74"/>
      <c r="P344" s="74"/>
      <c r="Q344" s="74"/>
      <c r="R344" s="73"/>
      <c r="S344" s="74"/>
      <c r="T344" s="73"/>
      <c r="U344" s="74"/>
    </row>
    <row r="345">
      <c r="D345" s="71"/>
      <c r="E345" s="73"/>
      <c r="N345" s="74"/>
      <c r="O345" s="74"/>
      <c r="P345" s="74"/>
      <c r="Q345" s="74"/>
      <c r="R345" s="73"/>
      <c r="S345" s="74"/>
      <c r="T345" s="73"/>
      <c r="U345" s="74"/>
    </row>
    <row r="346">
      <c r="D346" s="71"/>
      <c r="E346" s="73"/>
      <c r="N346" s="74"/>
      <c r="O346" s="74"/>
      <c r="P346" s="74"/>
      <c r="Q346" s="74"/>
      <c r="R346" s="73"/>
      <c r="S346" s="74"/>
      <c r="T346" s="73"/>
      <c r="U346" s="74"/>
    </row>
    <row r="347">
      <c r="D347" s="71"/>
      <c r="E347" s="73"/>
      <c r="N347" s="74"/>
      <c r="O347" s="74"/>
      <c r="P347" s="74"/>
      <c r="Q347" s="74"/>
      <c r="R347" s="73"/>
      <c r="S347" s="74"/>
      <c r="T347" s="73"/>
      <c r="U347" s="74"/>
    </row>
    <row r="348">
      <c r="D348" s="71"/>
      <c r="E348" s="73"/>
      <c r="N348" s="74"/>
      <c r="O348" s="74"/>
      <c r="P348" s="74"/>
      <c r="Q348" s="74"/>
      <c r="R348" s="73"/>
      <c r="S348" s="74"/>
      <c r="T348" s="73"/>
      <c r="U348" s="74"/>
    </row>
    <row r="349">
      <c r="D349" s="71"/>
      <c r="E349" s="73"/>
      <c r="N349" s="74"/>
      <c r="O349" s="74"/>
      <c r="P349" s="74"/>
      <c r="Q349" s="74"/>
      <c r="R349" s="73"/>
      <c r="S349" s="74"/>
      <c r="T349" s="73"/>
      <c r="U349" s="74"/>
    </row>
    <row r="350">
      <c r="D350" s="71"/>
      <c r="E350" s="73"/>
      <c r="N350" s="74"/>
      <c r="O350" s="74"/>
      <c r="P350" s="74"/>
      <c r="Q350" s="74"/>
      <c r="R350" s="73"/>
      <c r="S350" s="74"/>
      <c r="T350" s="73"/>
      <c r="U350" s="74"/>
    </row>
    <row r="351">
      <c r="D351" s="71"/>
      <c r="E351" s="73"/>
      <c r="N351" s="74"/>
      <c r="O351" s="74"/>
      <c r="P351" s="74"/>
      <c r="Q351" s="74"/>
      <c r="R351" s="73"/>
      <c r="S351" s="74"/>
      <c r="T351" s="73"/>
      <c r="U351" s="74"/>
    </row>
    <row r="352">
      <c r="D352" s="71"/>
      <c r="E352" s="73"/>
      <c r="N352" s="74"/>
      <c r="O352" s="74"/>
      <c r="P352" s="74"/>
      <c r="Q352" s="74"/>
      <c r="R352" s="73"/>
      <c r="S352" s="74"/>
      <c r="T352" s="73"/>
      <c r="U352" s="74"/>
    </row>
    <row r="353">
      <c r="D353" s="71"/>
      <c r="E353" s="73"/>
      <c r="N353" s="74"/>
      <c r="O353" s="74"/>
      <c r="P353" s="74"/>
      <c r="Q353" s="74"/>
      <c r="R353" s="73"/>
      <c r="S353" s="74"/>
      <c r="T353" s="73"/>
      <c r="U353" s="74"/>
    </row>
    <row r="354">
      <c r="D354" s="71"/>
      <c r="E354" s="73"/>
      <c r="N354" s="74"/>
      <c r="O354" s="74"/>
      <c r="P354" s="74"/>
      <c r="Q354" s="74"/>
      <c r="R354" s="73"/>
      <c r="S354" s="74"/>
      <c r="T354" s="73"/>
      <c r="U354" s="74"/>
    </row>
    <row r="355">
      <c r="D355" s="71"/>
      <c r="E355" s="73"/>
      <c r="N355" s="74"/>
      <c r="O355" s="74"/>
      <c r="P355" s="74"/>
      <c r="Q355" s="74"/>
      <c r="R355" s="73"/>
      <c r="S355" s="74"/>
      <c r="T355" s="73"/>
      <c r="U355" s="74"/>
    </row>
    <row r="356">
      <c r="D356" s="71"/>
      <c r="E356" s="73"/>
      <c r="N356" s="74"/>
      <c r="O356" s="74"/>
      <c r="P356" s="74"/>
      <c r="Q356" s="74"/>
      <c r="R356" s="73"/>
      <c r="S356" s="74"/>
      <c r="T356" s="73"/>
      <c r="U356" s="74"/>
    </row>
    <row r="357">
      <c r="D357" s="71"/>
      <c r="E357" s="73"/>
      <c r="N357" s="74"/>
      <c r="O357" s="74"/>
      <c r="P357" s="74"/>
      <c r="Q357" s="74"/>
      <c r="R357" s="73"/>
      <c r="S357" s="74"/>
      <c r="T357" s="73"/>
      <c r="U357" s="74"/>
    </row>
    <row r="358">
      <c r="D358" s="71"/>
      <c r="E358" s="73"/>
      <c r="N358" s="74"/>
      <c r="O358" s="74"/>
      <c r="P358" s="74"/>
      <c r="Q358" s="74"/>
      <c r="R358" s="73"/>
      <c r="S358" s="74"/>
      <c r="T358" s="73"/>
      <c r="U358" s="74"/>
    </row>
    <row r="359">
      <c r="D359" s="71"/>
      <c r="E359" s="73"/>
      <c r="N359" s="74"/>
      <c r="O359" s="74"/>
      <c r="P359" s="74"/>
      <c r="Q359" s="74"/>
      <c r="R359" s="73"/>
      <c r="S359" s="74"/>
      <c r="T359" s="73"/>
      <c r="U359" s="74"/>
    </row>
    <row r="360">
      <c r="D360" s="71"/>
      <c r="E360" s="73"/>
      <c r="N360" s="74"/>
      <c r="O360" s="74"/>
      <c r="P360" s="74"/>
      <c r="Q360" s="74"/>
      <c r="R360" s="73"/>
      <c r="S360" s="74"/>
      <c r="T360" s="73"/>
      <c r="U360" s="74"/>
    </row>
    <row r="361">
      <c r="D361" s="71"/>
      <c r="E361" s="73"/>
      <c r="N361" s="74"/>
      <c r="O361" s="74"/>
      <c r="P361" s="74"/>
      <c r="Q361" s="74"/>
      <c r="R361" s="73"/>
      <c r="S361" s="74"/>
      <c r="T361" s="73"/>
      <c r="U361" s="74"/>
    </row>
    <row r="362">
      <c r="D362" s="71"/>
      <c r="E362" s="73"/>
      <c r="N362" s="74"/>
      <c r="O362" s="74"/>
      <c r="P362" s="74"/>
      <c r="Q362" s="74"/>
      <c r="R362" s="73"/>
      <c r="S362" s="74"/>
      <c r="T362" s="73"/>
      <c r="U362" s="74"/>
    </row>
    <row r="363">
      <c r="D363" s="71"/>
      <c r="E363" s="73"/>
      <c r="N363" s="74"/>
      <c r="O363" s="74"/>
      <c r="P363" s="74"/>
      <c r="Q363" s="74"/>
      <c r="R363" s="73"/>
      <c r="S363" s="74"/>
      <c r="T363" s="73"/>
      <c r="U363" s="74"/>
    </row>
    <row r="364">
      <c r="D364" s="71"/>
      <c r="E364" s="73"/>
      <c r="N364" s="74"/>
      <c r="O364" s="74"/>
      <c r="P364" s="74"/>
      <c r="Q364" s="74"/>
      <c r="R364" s="73"/>
      <c r="S364" s="74"/>
      <c r="T364" s="73"/>
      <c r="U364" s="74"/>
    </row>
    <row r="365">
      <c r="D365" s="71"/>
      <c r="E365" s="73"/>
      <c r="N365" s="74"/>
      <c r="O365" s="74"/>
      <c r="P365" s="74"/>
      <c r="Q365" s="74"/>
      <c r="R365" s="73"/>
      <c r="S365" s="74"/>
      <c r="T365" s="73"/>
      <c r="U365" s="74"/>
    </row>
    <row r="366">
      <c r="D366" s="71"/>
      <c r="E366" s="73"/>
      <c r="N366" s="74"/>
      <c r="O366" s="74"/>
      <c r="P366" s="74"/>
      <c r="Q366" s="74"/>
      <c r="R366" s="73"/>
      <c r="S366" s="74"/>
      <c r="T366" s="73"/>
      <c r="U366" s="74"/>
    </row>
    <row r="367">
      <c r="D367" s="71"/>
      <c r="E367" s="73"/>
      <c r="N367" s="74"/>
      <c r="O367" s="74"/>
      <c r="P367" s="74"/>
      <c r="Q367" s="74"/>
      <c r="R367" s="73"/>
      <c r="S367" s="74"/>
      <c r="T367" s="73"/>
      <c r="U367" s="74"/>
    </row>
    <row r="368">
      <c r="D368" s="71"/>
      <c r="E368" s="73"/>
      <c r="N368" s="74"/>
      <c r="O368" s="74"/>
      <c r="P368" s="74"/>
      <c r="Q368" s="74"/>
      <c r="R368" s="73"/>
      <c r="S368" s="74"/>
      <c r="T368" s="73"/>
      <c r="U368" s="74"/>
    </row>
    <row r="369">
      <c r="D369" s="71"/>
      <c r="E369" s="73"/>
      <c r="N369" s="74"/>
      <c r="O369" s="74"/>
      <c r="P369" s="74"/>
      <c r="Q369" s="74"/>
      <c r="R369" s="73"/>
      <c r="S369" s="74"/>
      <c r="T369" s="73"/>
      <c r="U369" s="74"/>
    </row>
    <row r="370">
      <c r="D370" s="71"/>
      <c r="E370" s="73"/>
      <c r="N370" s="74"/>
      <c r="O370" s="74"/>
      <c r="P370" s="74"/>
      <c r="Q370" s="74"/>
      <c r="R370" s="73"/>
      <c r="S370" s="74"/>
      <c r="T370" s="73"/>
      <c r="U370" s="74"/>
    </row>
    <row r="371">
      <c r="D371" s="71"/>
      <c r="E371" s="73"/>
      <c r="N371" s="74"/>
      <c r="O371" s="74"/>
      <c r="P371" s="74"/>
      <c r="Q371" s="74"/>
      <c r="R371" s="73"/>
      <c r="S371" s="74"/>
      <c r="T371" s="73"/>
      <c r="U371" s="74"/>
    </row>
    <row r="372">
      <c r="D372" s="71"/>
      <c r="E372" s="73"/>
      <c r="N372" s="74"/>
      <c r="O372" s="74"/>
      <c r="P372" s="74"/>
      <c r="Q372" s="74"/>
      <c r="R372" s="73"/>
      <c r="S372" s="74"/>
      <c r="T372" s="73"/>
      <c r="U372" s="74"/>
    </row>
    <row r="373">
      <c r="D373" s="71"/>
      <c r="E373" s="73"/>
      <c r="N373" s="74"/>
      <c r="O373" s="74"/>
      <c r="P373" s="74"/>
      <c r="Q373" s="74"/>
      <c r="R373" s="73"/>
      <c r="S373" s="74"/>
      <c r="T373" s="73"/>
      <c r="U373" s="74"/>
    </row>
    <row r="374">
      <c r="D374" s="71"/>
      <c r="E374" s="73"/>
      <c r="N374" s="74"/>
      <c r="O374" s="74"/>
      <c r="P374" s="74"/>
      <c r="Q374" s="74"/>
      <c r="R374" s="73"/>
      <c r="S374" s="74"/>
      <c r="T374" s="73"/>
      <c r="U374" s="74"/>
    </row>
    <row r="375">
      <c r="D375" s="71"/>
      <c r="E375" s="73"/>
      <c r="N375" s="74"/>
      <c r="O375" s="74"/>
      <c r="P375" s="74"/>
      <c r="Q375" s="74"/>
      <c r="R375" s="73"/>
      <c r="S375" s="74"/>
      <c r="T375" s="73"/>
      <c r="U375" s="74"/>
    </row>
    <row r="376">
      <c r="D376" s="71"/>
      <c r="E376" s="73"/>
      <c r="N376" s="74"/>
      <c r="O376" s="74"/>
      <c r="P376" s="74"/>
      <c r="Q376" s="74"/>
      <c r="R376" s="73"/>
      <c r="S376" s="74"/>
      <c r="T376" s="73"/>
      <c r="U376" s="74"/>
    </row>
    <row r="377">
      <c r="D377" s="71"/>
      <c r="E377" s="73"/>
      <c r="N377" s="74"/>
      <c r="O377" s="74"/>
      <c r="P377" s="74"/>
      <c r="Q377" s="74"/>
      <c r="R377" s="73"/>
      <c r="S377" s="74"/>
      <c r="T377" s="73"/>
      <c r="U377" s="74"/>
    </row>
    <row r="378">
      <c r="D378" s="71"/>
      <c r="E378" s="73"/>
      <c r="N378" s="74"/>
      <c r="O378" s="74"/>
      <c r="P378" s="74"/>
      <c r="Q378" s="74"/>
      <c r="R378" s="73"/>
      <c r="S378" s="74"/>
      <c r="T378" s="73"/>
      <c r="U378" s="74"/>
    </row>
    <row r="379">
      <c r="D379" s="71"/>
      <c r="E379" s="73"/>
      <c r="N379" s="74"/>
      <c r="O379" s="74"/>
      <c r="P379" s="74"/>
      <c r="Q379" s="74"/>
      <c r="R379" s="73"/>
      <c r="S379" s="74"/>
      <c r="T379" s="73"/>
      <c r="U379" s="74"/>
    </row>
    <row r="380">
      <c r="D380" s="71"/>
      <c r="E380" s="73"/>
      <c r="N380" s="74"/>
      <c r="O380" s="74"/>
      <c r="P380" s="74"/>
      <c r="Q380" s="74"/>
      <c r="R380" s="73"/>
      <c r="S380" s="74"/>
      <c r="T380" s="73"/>
      <c r="U380" s="74"/>
    </row>
    <row r="381">
      <c r="D381" s="71"/>
      <c r="E381" s="73"/>
      <c r="N381" s="74"/>
      <c r="O381" s="74"/>
      <c r="P381" s="74"/>
      <c r="Q381" s="74"/>
      <c r="R381" s="73"/>
      <c r="S381" s="74"/>
      <c r="T381" s="73"/>
      <c r="U381" s="74"/>
    </row>
    <row r="382">
      <c r="D382" s="71"/>
      <c r="E382" s="73"/>
      <c r="N382" s="74"/>
      <c r="O382" s="74"/>
      <c r="P382" s="74"/>
      <c r="Q382" s="74"/>
      <c r="R382" s="73"/>
      <c r="S382" s="74"/>
      <c r="T382" s="73"/>
      <c r="U382" s="74"/>
    </row>
    <row r="383">
      <c r="D383" s="71"/>
      <c r="E383" s="73"/>
      <c r="N383" s="74"/>
      <c r="O383" s="74"/>
      <c r="P383" s="74"/>
      <c r="Q383" s="74"/>
      <c r="R383" s="73"/>
      <c r="S383" s="74"/>
      <c r="T383" s="73"/>
      <c r="U383" s="74"/>
    </row>
    <row r="384">
      <c r="D384" s="71"/>
      <c r="E384" s="73"/>
      <c r="N384" s="74"/>
      <c r="O384" s="74"/>
      <c r="P384" s="74"/>
      <c r="Q384" s="74"/>
      <c r="R384" s="73"/>
      <c r="S384" s="74"/>
      <c r="T384" s="73"/>
      <c r="U384" s="74"/>
    </row>
    <row r="385">
      <c r="D385" s="71"/>
      <c r="E385" s="73"/>
      <c r="N385" s="74"/>
      <c r="O385" s="74"/>
      <c r="P385" s="74"/>
      <c r="Q385" s="74"/>
      <c r="R385" s="73"/>
      <c r="S385" s="74"/>
      <c r="T385" s="73"/>
      <c r="U385" s="74"/>
    </row>
    <row r="386">
      <c r="D386" s="71"/>
      <c r="E386" s="73"/>
      <c r="N386" s="74"/>
      <c r="O386" s="74"/>
      <c r="P386" s="74"/>
      <c r="Q386" s="74"/>
      <c r="R386" s="73"/>
      <c r="S386" s="74"/>
      <c r="T386" s="73"/>
      <c r="U386" s="74"/>
    </row>
    <row r="387">
      <c r="D387" s="71"/>
      <c r="E387" s="73"/>
      <c r="N387" s="74"/>
      <c r="O387" s="74"/>
      <c r="P387" s="74"/>
      <c r="Q387" s="74"/>
      <c r="R387" s="73"/>
      <c r="S387" s="74"/>
      <c r="T387" s="73"/>
      <c r="U387" s="74"/>
    </row>
    <row r="388">
      <c r="D388" s="71"/>
      <c r="E388" s="73"/>
      <c r="N388" s="74"/>
      <c r="O388" s="74"/>
      <c r="P388" s="74"/>
      <c r="Q388" s="74"/>
      <c r="R388" s="73"/>
      <c r="S388" s="74"/>
      <c r="T388" s="73"/>
      <c r="U388" s="74"/>
    </row>
    <row r="389">
      <c r="D389" s="71"/>
      <c r="E389" s="73"/>
      <c r="N389" s="74"/>
      <c r="O389" s="74"/>
      <c r="P389" s="74"/>
      <c r="Q389" s="74"/>
      <c r="R389" s="73"/>
      <c r="S389" s="74"/>
      <c r="T389" s="73"/>
      <c r="U389" s="74"/>
    </row>
    <row r="390">
      <c r="D390" s="71"/>
      <c r="E390" s="73"/>
      <c r="N390" s="74"/>
      <c r="O390" s="74"/>
      <c r="P390" s="74"/>
      <c r="Q390" s="74"/>
      <c r="R390" s="73"/>
      <c r="S390" s="74"/>
      <c r="T390" s="73"/>
      <c r="U390" s="74"/>
    </row>
    <row r="391">
      <c r="D391" s="71"/>
      <c r="E391" s="73"/>
      <c r="N391" s="74"/>
      <c r="O391" s="74"/>
      <c r="P391" s="74"/>
      <c r="Q391" s="74"/>
      <c r="R391" s="73"/>
      <c r="S391" s="74"/>
      <c r="T391" s="73"/>
      <c r="U391" s="74"/>
    </row>
    <row r="392">
      <c r="D392" s="71"/>
      <c r="E392" s="73"/>
      <c r="N392" s="74"/>
      <c r="O392" s="74"/>
      <c r="P392" s="74"/>
      <c r="Q392" s="74"/>
      <c r="R392" s="73"/>
      <c r="S392" s="74"/>
      <c r="T392" s="73"/>
      <c r="U392" s="74"/>
    </row>
    <row r="393">
      <c r="D393" s="71"/>
      <c r="E393" s="73"/>
      <c r="N393" s="74"/>
      <c r="O393" s="74"/>
      <c r="P393" s="74"/>
      <c r="Q393" s="74"/>
      <c r="R393" s="73"/>
      <c r="S393" s="74"/>
      <c r="T393" s="73"/>
      <c r="U393" s="74"/>
    </row>
    <row r="394">
      <c r="D394" s="71"/>
      <c r="E394" s="73"/>
      <c r="N394" s="74"/>
      <c r="O394" s="74"/>
      <c r="P394" s="74"/>
      <c r="Q394" s="74"/>
      <c r="R394" s="73"/>
      <c r="S394" s="74"/>
      <c r="T394" s="73"/>
      <c r="U394" s="74"/>
    </row>
    <row r="395">
      <c r="D395" s="71"/>
      <c r="E395" s="73"/>
      <c r="N395" s="74"/>
      <c r="O395" s="74"/>
      <c r="P395" s="74"/>
      <c r="Q395" s="74"/>
      <c r="R395" s="73"/>
      <c r="S395" s="74"/>
      <c r="T395" s="73"/>
      <c r="U395" s="74"/>
    </row>
    <row r="396">
      <c r="D396" s="71"/>
      <c r="E396" s="73"/>
      <c r="N396" s="74"/>
      <c r="O396" s="74"/>
      <c r="P396" s="74"/>
      <c r="Q396" s="74"/>
      <c r="R396" s="73"/>
      <c r="S396" s="74"/>
      <c r="T396" s="73"/>
      <c r="U396" s="74"/>
    </row>
    <row r="397">
      <c r="D397" s="71"/>
      <c r="E397" s="73"/>
      <c r="N397" s="74"/>
      <c r="O397" s="74"/>
      <c r="P397" s="74"/>
      <c r="Q397" s="74"/>
      <c r="R397" s="73"/>
      <c r="S397" s="74"/>
      <c r="T397" s="73"/>
      <c r="U397" s="74"/>
    </row>
    <row r="398">
      <c r="D398" s="71"/>
      <c r="E398" s="73"/>
      <c r="N398" s="74"/>
      <c r="O398" s="74"/>
      <c r="P398" s="74"/>
      <c r="Q398" s="74"/>
      <c r="R398" s="73"/>
      <c r="S398" s="74"/>
      <c r="T398" s="73"/>
      <c r="U398" s="74"/>
    </row>
    <row r="399">
      <c r="D399" s="71"/>
      <c r="E399" s="73"/>
      <c r="N399" s="74"/>
      <c r="O399" s="74"/>
      <c r="P399" s="74"/>
      <c r="Q399" s="74"/>
      <c r="R399" s="73"/>
      <c r="S399" s="74"/>
      <c r="T399" s="73"/>
      <c r="U399" s="74"/>
    </row>
    <row r="400">
      <c r="D400" s="71"/>
      <c r="E400" s="73"/>
      <c r="N400" s="74"/>
      <c r="O400" s="74"/>
      <c r="P400" s="74"/>
      <c r="Q400" s="74"/>
      <c r="R400" s="73"/>
      <c r="S400" s="74"/>
      <c r="T400" s="73"/>
      <c r="U400" s="74"/>
    </row>
    <row r="401">
      <c r="D401" s="71"/>
      <c r="E401" s="73"/>
      <c r="N401" s="74"/>
      <c r="O401" s="74"/>
      <c r="P401" s="74"/>
      <c r="Q401" s="74"/>
      <c r="R401" s="73"/>
      <c r="S401" s="74"/>
      <c r="T401" s="73"/>
      <c r="U401" s="74"/>
    </row>
    <row r="402">
      <c r="D402" s="71"/>
      <c r="E402" s="73"/>
      <c r="N402" s="74"/>
      <c r="O402" s="74"/>
      <c r="P402" s="74"/>
      <c r="Q402" s="74"/>
      <c r="R402" s="73"/>
      <c r="S402" s="74"/>
      <c r="T402" s="73"/>
      <c r="U402" s="74"/>
    </row>
    <row r="403">
      <c r="D403" s="71"/>
      <c r="E403" s="73"/>
      <c r="N403" s="74"/>
      <c r="O403" s="74"/>
      <c r="P403" s="74"/>
      <c r="Q403" s="74"/>
      <c r="R403" s="73"/>
      <c r="S403" s="74"/>
      <c r="T403" s="73"/>
      <c r="U403" s="74"/>
    </row>
    <row r="404">
      <c r="D404" s="71"/>
      <c r="E404" s="73"/>
      <c r="N404" s="74"/>
      <c r="O404" s="74"/>
      <c r="P404" s="74"/>
      <c r="Q404" s="74"/>
      <c r="R404" s="73"/>
      <c r="S404" s="74"/>
      <c r="T404" s="73"/>
      <c r="U404" s="74"/>
    </row>
    <row r="405">
      <c r="D405" s="71"/>
      <c r="E405" s="73"/>
      <c r="N405" s="74"/>
      <c r="O405" s="74"/>
      <c r="P405" s="74"/>
      <c r="Q405" s="74"/>
      <c r="R405" s="73"/>
      <c r="S405" s="74"/>
      <c r="T405" s="73"/>
      <c r="U405" s="74"/>
    </row>
    <row r="406">
      <c r="D406" s="71"/>
      <c r="E406" s="73"/>
      <c r="N406" s="74"/>
      <c r="O406" s="74"/>
      <c r="P406" s="74"/>
      <c r="Q406" s="74"/>
      <c r="R406" s="73"/>
      <c r="S406" s="74"/>
      <c r="T406" s="73"/>
      <c r="U406" s="74"/>
    </row>
    <row r="407">
      <c r="D407" s="71"/>
      <c r="E407" s="73"/>
      <c r="N407" s="74"/>
      <c r="O407" s="74"/>
      <c r="P407" s="74"/>
      <c r="Q407" s="74"/>
      <c r="R407" s="73"/>
      <c r="S407" s="74"/>
      <c r="T407" s="73"/>
      <c r="U407" s="74"/>
    </row>
    <row r="408">
      <c r="D408" s="71"/>
      <c r="E408" s="73"/>
      <c r="N408" s="74"/>
      <c r="O408" s="74"/>
      <c r="P408" s="74"/>
      <c r="Q408" s="74"/>
      <c r="R408" s="73"/>
      <c r="S408" s="74"/>
      <c r="T408" s="73"/>
      <c r="U408" s="74"/>
    </row>
    <row r="409">
      <c r="D409" s="71"/>
      <c r="E409" s="73"/>
      <c r="N409" s="74"/>
      <c r="O409" s="74"/>
      <c r="P409" s="74"/>
      <c r="Q409" s="74"/>
      <c r="R409" s="73"/>
      <c r="S409" s="74"/>
      <c r="T409" s="73"/>
      <c r="U409" s="74"/>
    </row>
    <row r="410">
      <c r="D410" s="71"/>
      <c r="E410" s="73"/>
      <c r="N410" s="74"/>
      <c r="O410" s="74"/>
      <c r="P410" s="74"/>
      <c r="Q410" s="74"/>
      <c r="R410" s="73"/>
      <c r="S410" s="74"/>
      <c r="T410" s="73"/>
      <c r="U410" s="74"/>
    </row>
    <row r="411">
      <c r="D411" s="71"/>
      <c r="E411" s="73"/>
      <c r="N411" s="74"/>
      <c r="O411" s="74"/>
      <c r="P411" s="74"/>
      <c r="Q411" s="74"/>
      <c r="R411" s="73"/>
      <c r="S411" s="74"/>
      <c r="T411" s="73"/>
      <c r="U411" s="74"/>
    </row>
    <row r="412">
      <c r="D412" s="71"/>
      <c r="E412" s="73"/>
      <c r="N412" s="74"/>
      <c r="O412" s="74"/>
      <c r="P412" s="74"/>
      <c r="Q412" s="74"/>
      <c r="R412" s="73"/>
      <c r="S412" s="74"/>
      <c r="T412" s="73"/>
      <c r="U412" s="74"/>
    </row>
    <row r="413">
      <c r="D413" s="71"/>
      <c r="E413" s="73"/>
      <c r="N413" s="74"/>
      <c r="O413" s="74"/>
      <c r="P413" s="74"/>
      <c r="Q413" s="74"/>
      <c r="R413" s="73"/>
      <c r="S413" s="74"/>
      <c r="T413" s="73"/>
      <c r="U413" s="74"/>
    </row>
    <row r="414">
      <c r="D414" s="71"/>
      <c r="E414" s="73"/>
      <c r="N414" s="74"/>
      <c r="O414" s="74"/>
      <c r="P414" s="74"/>
      <c r="Q414" s="74"/>
      <c r="R414" s="73"/>
      <c r="S414" s="74"/>
      <c r="T414" s="73"/>
      <c r="U414" s="74"/>
    </row>
    <row r="415">
      <c r="D415" s="71"/>
      <c r="E415" s="73"/>
      <c r="N415" s="74"/>
      <c r="O415" s="74"/>
      <c r="P415" s="74"/>
      <c r="Q415" s="74"/>
      <c r="R415" s="73"/>
      <c r="S415" s="74"/>
      <c r="T415" s="73"/>
      <c r="U415" s="74"/>
    </row>
    <row r="416">
      <c r="D416" s="71"/>
      <c r="E416" s="73"/>
      <c r="N416" s="74"/>
      <c r="O416" s="74"/>
      <c r="P416" s="74"/>
      <c r="Q416" s="74"/>
      <c r="R416" s="73"/>
      <c r="S416" s="74"/>
      <c r="T416" s="73"/>
      <c r="U416" s="74"/>
    </row>
    <row r="417">
      <c r="D417" s="71"/>
      <c r="E417" s="73"/>
      <c r="N417" s="74"/>
      <c r="O417" s="74"/>
      <c r="P417" s="74"/>
      <c r="Q417" s="74"/>
      <c r="R417" s="73"/>
      <c r="S417" s="74"/>
      <c r="T417" s="73"/>
      <c r="U417" s="74"/>
    </row>
    <row r="418">
      <c r="D418" s="71"/>
      <c r="E418" s="73"/>
      <c r="N418" s="74"/>
      <c r="O418" s="74"/>
      <c r="P418" s="74"/>
      <c r="Q418" s="74"/>
      <c r="R418" s="73"/>
      <c r="S418" s="74"/>
      <c r="T418" s="73"/>
      <c r="U418" s="74"/>
    </row>
    <row r="419">
      <c r="D419" s="71"/>
      <c r="E419" s="73"/>
      <c r="N419" s="74"/>
      <c r="O419" s="74"/>
      <c r="P419" s="74"/>
      <c r="Q419" s="74"/>
      <c r="R419" s="73"/>
      <c r="S419" s="74"/>
      <c r="T419" s="73"/>
      <c r="U419" s="74"/>
    </row>
    <row r="420">
      <c r="D420" s="71"/>
      <c r="E420" s="73"/>
      <c r="N420" s="74"/>
      <c r="O420" s="74"/>
      <c r="P420" s="74"/>
      <c r="Q420" s="74"/>
      <c r="R420" s="73"/>
      <c r="S420" s="74"/>
      <c r="T420" s="73"/>
      <c r="U420" s="74"/>
    </row>
    <row r="421">
      <c r="D421" s="71"/>
      <c r="E421" s="73"/>
      <c r="N421" s="74"/>
      <c r="O421" s="74"/>
      <c r="P421" s="74"/>
      <c r="Q421" s="74"/>
      <c r="R421" s="73"/>
      <c r="S421" s="74"/>
      <c r="T421" s="73"/>
      <c r="U421" s="74"/>
    </row>
    <row r="422">
      <c r="D422" s="71"/>
      <c r="E422" s="73"/>
      <c r="N422" s="74"/>
      <c r="O422" s="74"/>
      <c r="P422" s="74"/>
      <c r="Q422" s="74"/>
      <c r="R422" s="73"/>
      <c r="S422" s="74"/>
      <c r="T422" s="73"/>
      <c r="U422" s="74"/>
    </row>
    <row r="423">
      <c r="D423" s="71"/>
      <c r="E423" s="73"/>
      <c r="N423" s="74"/>
      <c r="O423" s="74"/>
      <c r="P423" s="74"/>
      <c r="Q423" s="74"/>
      <c r="R423" s="73"/>
      <c r="S423" s="74"/>
      <c r="T423" s="73"/>
      <c r="U423" s="74"/>
    </row>
    <row r="424">
      <c r="D424" s="71"/>
      <c r="E424" s="73"/>
      <c r="N424" s="74"/>
      <c r="O424" s="74"/>
      <c r="P424" s="74"/>
      <c r="Q424" s="74"/>
      <c r="R424" s="73"/>
      <c r="S424" s="74"/>
      <c r="T424" s="73"/>
      <c r="U424" s="74"/>
    </row>
    <row r="425">
      <c r="D425" s="71"/>
      <c r="E425" s="73"/>
      <c r="N425" s="74"/>
      <c r="O425" s="74"/>
      <c r="P425" s="74"/>
      <c r="Q425" s="74"/>
      <c r="R425" s="73"/>
      <c r="S425" s="74"/>
      <c r="T425" s="73"/>
      <c r="U425" s="74"/>
    </row>
    <row r="426">
      <c r="D426" s="71"/>
      <c r="E426" s="73"/>
      <c r="N426" s="74"/>
      <c r="O426" s="74"/>
      <c r="P426" s="74"/>
      <c r="Q426" s="74"/>
      <c r="R426" s="73"/>
      <c r="S426" s="74"/>
      <c r="T426" s="73"/>
      <c r="U426" s="74"/>
    </row>
    <row r="427">
      <c r="D427" s="71"/>
      <c r="E427" s="73"/>
      <c r="N427" s="74"/>
      <c r="O427" s="74"/>
      <c r="P427" s="74"/>
      <c r="Q427" s="74"/>
      <c r="R427" s="73"/>
      <c r="S427" s="74"/>
      <c r="T427" s="73"/>
      <c r="U427" s="74"/>
    </row>
    <row r="428">
      <c r="D428" s="71"/>
      <c r="E428" s="73"/>
      <c r="N428" s="74"/>
      <c r="O428" s="74"/>
      <c r="P428" s="74"/>
      <c r="Q428" s="74"/>
      <c r="R428" s="73"/>
      <c r="S428" s="74"/>
      <c r="T428" s="73"/>
      <c r="U428" s="74"/>
    </row>
    <row r="429">
      <c r="D429" s="71"/>
      <c r="E429" s="73"/>
      <c r="N429" s="74"/>
      <c r="O429" s="74"/>
      <c r="P429" s="74"/>
      <c r="Q429" s="74"/>
      <c r="R429" s="73"/>
      <c r="S429" s="74"/>
      <c r="T429" s="73"/>
      <c r="U429" s="74"/>
    </row>
    <row r="430">
      <c r="D430" s="71"/>
      <c r="E430" s="73"/>
      <c r="N430" s="74"/>
      <c r="O430" s="74"/>
      <c r="P430" s="74"/>
      <c r="Q430" s="74"/>
      <c r="R430" s="73"/>
      <c r="S430" s="74"/>
      <c r="T430" s="73"/>
      <c r="U430" s="74"/>
    </row>
    <row r="431">
      <c r="D431" s="71"/>
      <c r="E431" s="73"/>
      <c r="N431" s="74"/>
      <c r="O431" s="74"/>
      <c r="P431" s="74"/>
      <c r="Q431" s="74"/>
      <c r="R431" s="73"/>
      <c r="S431" s="74"/>
      <c r="T431" s="73"/>
      <c r="U431" s="74"/>
    </row>
    <row r="432">
      <c r="D432" s="71"/>
      <c r="E432" s="73"/>
      <c r="N432" s="74"/>
      <c r="O432" s="74"/>
      <c r="P432" s="74"/>
      <c r="Q432" s="74"/>
      <c r="R432" s="73"/>
      <c r="S432" s="74"/>
      <c r="T432" s="73"/>
      <c r="U432" s="74"/>
    </row>
    <row r="433">
      <c r="D433" s="71"/>
      <c r="E433" s="73"/>
      <c r="N433" s="74"/>
      <c r="O433" s="74"/>
      <c r="P433" s="74"/>
      <c r="Q433" s="74"/>
      <c r="R433" s="73"/>
      <c r="S433" s="74"/>
      <c r="T433" s="73"/>
      <c r="U433" s="74"/>
    </row>
    <row r="434">
      <c r="D434" s="71"/>
      <c r="E434" s="73"/>
      <c r="N434" s="74"/>
      <c r="O434" s="74"/>
      <c r="P434" s="74"/>
      <c r="Q434" s="74"/>
      <c r="R434" s="73"/>
      <c r="S434" s="74"/>
      <c r="T434" s="73"/>
      <c r="U434" s="74"/>
    </row>
    <row r="435">
      <c r="D435" s="71"/>
      <c r="E435" s="73"/>
      <c r="N435" s="74"/>
      <c r="O435" s="74"/>
      <c r="P435" s="74"/>
      <c r="Q435" s="74"/>
      <c r="R435" s="73"/>
      <c r="S435" s="74"/>
      <c r="T435" s="73"/>
      <c r="U435" s="74"/>
    </row>
    <row r="436">
      <c r="D436" s="71"/>
      <c r="E436" s="73"/>
      <c r="N436" s="74"/>
      <c r="O436" s="74"/>
      <c r="P436" s="74"/>
      <c r="Q436" s="74"/>
      <c r="R436" s="73"/>
      <c r="S436" s="74"/>
      <c r="T436" s="73"/>
      <c r="U436" s="74"/>
    </row>
    <row r="437">
      <c r="D437" s="71"/>
      <c r="E437" s="73"/>
      <c r="N437" s="74"/>
      <c r="O437" s="74"/>
      <c r="P437" s="74"/>
      <c r="Q437" s="74"/>
      <c r="R437" s="73"/>
      <c r="S437" s="74"/>
      <c r="T437" s="73"/>
      <c r="U437" s="74"/>
    </row>
    <row r="438">
      <c r="D438" s="71"/>
      <c r="E438" s="73"/>
      <c r="N438" s="74"/>
      <c r="O438" s="74"/>
      <c r="P438" s="74"/>
      <c r="Q438" s="74"/>
      <c r="R438" s="73"/>
      <c r="S438" s="74"/>
      <c r="T438" s="73"/>
      <c r="U438" s="74"/>
    </row>
    <row r="439">
      <c r="D439" s="71"/>
      <c r="E439" s="73"/>
      <c r="N439" s="74"/>
      <c r="O439" s="74"/>
      <c r="P439" s="74"/>
      <c r="Q439" s="74"/>
      <c r="R439" s="73"/>
      <c r="S439" s="74"/>
      <c r="T439" s="73"/>
      <c r="U439" s="74"/>
    </row>
    <row r="440">
      <c r="D440" s="71"/>
      <c r="E440" s="73"/>
      <c r="N440" s="74"/>
      <c r="O440" s="74"/>
      <c r="P440" s="74"/>
      <c r="Q440" s="74"/>
      <c r="R440" s="73"/>
      <c r="S440" s="74"/>
      <c r="T440" s="73"/>
      <c r="U440" s="74"/>
    </row>
    <row r="441">
      <c r="D441" s="71"/>
      <c r="E441" s="73"/>
      <c r="N441" s="74"/>
      <c r="O441" s="74"/>
      <c r="P441" s="74"/>
      <c r="Q441" s="74"/>
      <c r="R441" s="73"/>
      <c r="S441" s="74"/>
      <c r="T441" s="73"/>
      <c r="U441" s="74"/>
    </row>
    <row r="442">
      <c r="D442" s="71"/>
      <c r="E442" s="73"/>
      <c r="N442" s="74"/>
      <c r="O442" s="74"/>
      <c r="P442" s="74"/>
      <c r="Q442" s="74"/>
      <c r="R442" s="73"/>
      <c r="S442" s="74"/>
      <c r="T442" s="73"/>
      <c r="U442" s="74"/>
    </row>
    <row r="443">
      <c r="D443" s="71"/>
      <c r="E443" s="73"/>
      <c r="N443" s="74"/>
      <c r="O443" s="74"/>
      <c r="P443" s="74"/>
      <c r="Q443" s="74"/>
      <c r="R443" s="73"/>
      <c r="S443" s="74"/>
      <c r="T443" s="73"/>
      <c r="U443" s="74"/>
    </row>
    <row r="444">
      <c r="D444" s="71"/>
      <c r="E444" s="73"/>
      <c r="N444" s="74"/>
      <c r="O444" s="74"/>
      <c r="P444" s="74"/>
      <c r="Q444" s="74"/>
      <c r="R444" s="73"/>
      <c r="S444" s="74"/>
      <c r="T444" s="73"/>
      <c r="U444" s="74"/>
    </row>
    <row r="445">
      <c r="D445" s="71"/>
      <c r="E445" s="73"/>
      <c r="N445" s="74"/>
      <c r="O445" s="74"/>
      <c r="P445" s="74"/>
      <c r="Q445" s="74"/>
      <c r="R445" s="73"/>
      <c r="S445" s="74"/>
      <c r="T445" s="73"/>
      <c r="U445" s="74"/>
    </row>
    <row r="446">
      <c r="D446" s="71"/>
      <c r="E446" s="73"/>
      <c r="N446" s="74"/>
      <c r="O446" s="74"/>
      <c r="P446" s="74"/>
      <c r="Q446" s="74"/>
      <c r="R446" s="73"/>
      <c r="S446" s="74"/>
      <c r="T446" s="73"/>
      <c r="U446" s="74"/>
    </row>
    <row r="447">
      <c r="D447" s="71"/>
      <c r="E447" s="73"/>
      <c r="N447" s="74"/>
      <c r="O447" s="74"/>
      <c r="P447" s="74"/>
      <c r="Q447" s="74"/>
      <c r="R447" s="73"/>
      <c r="S447" s="74"/>
      <c r="T447" s="73"/>
      <c r="U447" s="74"/>
    </row>
    <row r="448">
      <c r="D448" s="71"/>
      <c r="E448" s="73"/>
      <c r="N448" s="74"/>
      <c r="O448" s="74"/>
      <c r="P448" s="74"/>
      <c r="Q448" s="74"/>
      <c r="R448" s="73"/>
      <c r="S448" s="74"/>
      <c r="T448" s="73"/>
      <c r="U448" s="74"/>
    </row>
    <row r="449">
      <c r="D449" s="71"/>
      <c r="E449" s="73"/>
      <c r="N449" s="74"/>
      <c r="O449" s="74"/>
      <c r="P449" s="74"/>
      <c r="Q449" s="74"/>
      <c r="R449" s="73"/>
      <c r="S449" s="74"/>
      <c r="T449" s="73"/>
      <c r="U449" s="74"/>
    </row>
    <row r="450">
      <c r="D450" s="71"/>
      <c r="E450" s="73"/>
      <c r="N450" s="74"/>
      <c r="O450" s="74"/>
      <c r="P450" s="74"/>
      <c r="Q450" s="74"/>
      <c r="R450" s="73"/>
      <c r="S450" s="74"/>
      <c r="T450" s="73"/>
      <c r="U450" s="74"/>
    </row>
    <row r="451">
      <c r="D451" s="71"/>
      <c r="E451" s="73"/>
      <c r="N451" s="74"/>
      <c r="O451" s="74"/>
      <c r="P451" s="74"/>
      <c r="Q451" s="74"/>
      <c r="R451" s="73"/>
      <c r="S451" s="74"/>
      <c r="T451" s="73"/>
      <c r="U451" s="74"/>
    </row>
    <row r="452">
      <c r="D452" s="71"/>
      <c r="E452" s="73"/>
      <c r="N452" s="74"/>
      <c r="O452" s="74"/>
      <c r="P452" s="74"/>
      <c r="Q452" s="74"/>
      <c r="R452" s="73"/>
      <c r="S452" s="74"/>
      <c r="T452" s="73"/>
      <c r="U452" s="74"/>
    </row>
    <row r="453">
      <c r="D453" s="71"/>
      <c r="E453" s="73"/>
      <c r="N453" s="74"/>
      <c r="O453" s="74"/>
      <c r="P453" s="74"/>
      <c r="Q453" s="74"/>
      <c r="R453" s="73"/>
      <c r="S453" s="74"/>
      <c r="T453" s="73"/>
      <c r="U453" s="74"/>
    </row>
    <row r="454">
      <c r="D454" s="71"/>
      <c r="E454" s="73"/>
      <c r="N454" s="74"/>
      <c r="O454" s="74"/>
      <c r="P454" s="74"/>
      <c r="Q454" s="74"/>
      <c r="R454" s="73"/>
      <c r="S454" s="74"/>
      <c r="T454" s="73"/>
      <c r="U454" s="74"/>
    </row>
    <row r="455">
      <c r="D455" s="71"/>
      <c r="E455" s="73"/>
      <c r="N455" s="74"/>
      <c r="O455" s="74"/>
      <c r="P455" s="74"/>
      <c r="Q455" s="74"/>
      <c r="R455" s="73"/>
      <c r="S455" s="74"/>
      <c r="T455" s="73"/>
      <c r="U455" s="74"/>
    </row>
    <row r="456">
      <c r="D456" s="71"/>
      <c r="E456" s="73"/>
      <c r="N456" s="74"/>
      <c r="O456" s="74"/>
      <c r="P456" s="74"/>
      <c r="Q456" s="74"/>
      <c r="R456" s="73"/>
      <c r="S456" s="74"/>
      <c r="T456" s="73"/>
      <c r="U456" s="74"/>
    </row>
    <row r="457">
      <c r="D457" s="71"/>
      <c r="E457" s="73"/>
      <c r="N457" s="74"/>
      <c r="O457" s="74"/>
      <c r="P457" s="74"/>
      <c r="Q457" s="74"/>
      <c r="R457" s="73"/>
      <c r="S457" s="74"/>
      <c r="T457" s="73"/>
      <c r="U457" s="74"/>
    </row>
    <row r="458">
      <c r="D458" s="71"/>
      <c r="E458" s="73"/>
      <c r="N458" s="74"/>
      <c r="O458" s="74"/>
      <c r="P458" s="74"/>
      <c r="Q458" s="74"/>
      <c r="R458" s="73"/>
      <c r="S458" s="74"/>
      <c r="T458" s="73"/>
      <c r="U458" s="74"/>
    </row>
    <row r="459">
      <c r="D459" s="71"/>
      <c r="E459" s="73"/>
      <c r="N459" s="74"/>
      <c r="O459" s="74"/>
      <c r="P459" s="74"/>
      <c r="Q459" s="74"/>
      <c r="R459" s="73"/>
      <c r="S459" s="74"/>
      <c r="T459" s="73"/>
      <c r="U459" s="74"/>
    </row>
    <row r="460">
      <c r="D460" s="71"/>
      <c r="E460" s="73"/>
      <c r="N460" s="74"/>
      <c r="O460" s="74"/>
      <c r="P460" s="74"/>
      <c r="Q460" s="74"/>
      <c r="R460" s="73"/>
      <c r="S460" s="74"/>
      <c r="T460" s="73"/>
      <c r="U460" s="74"/>
    </row>
    <row r="461">
      <c r="D461" s="71"/>
      <c r="E461" s="73"/>
      <c r="N461" s="74"/>
      <c r="O461" s="74"/>
      <c r="P461" s="74"/>
      <c r="Q461" s="74"/>
      <c r="R461" s="73"/>
      <c r="S461" s="74"/>
      <c r="T461" s="73"/>
      <c r="U461" s="74"/>
    </row>
    <row r="462">
      <c r="D462" s="71"/>
      <c r="E462" s="73"/>
      <c r="N462" s="74"/>
      <c r="O462" s="74"/>
      <c r="P462" s="74"/>
      <c r="Q462" s="74"/>
      <c r="R462" s="73"/>
      <c r="S462" s="74"/>
      <c r="T462" s="73"/>
      <c r="U462" s="74"/>
    </row>
    <row r="463">
      <c r="D463" s="71"/>
      <c r="E463" s="73"/>
      <c r="N463" s="74"/>
      <c r="O463" s="74"/>
      <c r="P463" s="74"/>
      <c r="Q463" s="74"/>
      <c r="R463" s="73"/>
      <c r="S463" s="74"/>
      <c r="T463" s="73"/>
      <c r="U463" s="74"/>
    </row>
    <row r="464">
      <c r="D464" s="71"/>
      <c r="E464" s="73"/>
      <c r="N464" s="74"/>
      <c r="O464" s="74"/>
      <c r="P464" s="74"/>
      <c r="Q464" s="74"/>
      <c r="R464" s="73"/>
      <c r="S464" s="74"/>
      <c r="T464" s="73"/>
      <c r="U464" s="74"/>
    </row>
    <row r="465">
      <c r="D465" s="71"/>
      <c r="E465" s="73"/>
      <c r="N465" s="74"/>
      <c r="O465" s="74"/>
      <c r="P465" s="74"/>
      <c r="Q465" s="74"/>
      <c r="R465" s="73"/>
      <c r="S465" s="74"/>
      <c r="T465" s="73"/>
      <c r="U465" s="74"/>
    </row>
    <row r="466">
      <c r="D466" s="71"/>
      <c r="E466" s="73"/>
      <c r="N466" s="74"/>
      <c r="O466" s="74"/>
      <c r="P466" s="74"/>
      <c r="Q466" s="74"/>
      <c r="R466" s="73"/>
      <c r="S466" s="74"/>
      <c r="T466" s="73"/>
      <c r="U466" s="74"/>
    </row>
    <row r="467">
      <c r="D467" s="71"/>
      <c r="E467" s="73"/>
      <c r="N467" s="74"/>
      <c r="O467" s="74"/>
      <c r="P467" s="74"/>
      <c r="Q467" s="74"/>
      <c r="R467" s="73"/>
      <c r="S467" s="74"/>
      <c r="T467" s="73"/>
      <c r="U467" s="74"/>
    </row>
    <row r="468">
      <c r="D468" s="71"/>
      <c r="E468" s="73"/>
      <c r="N468" s="74"/>
      <c r="O468" s="74"/>
      <c r="P468" s="74"/>
      <c r="Q468" s="74"/>
      <c r="R468" s="73"/>
      <c r="S468" s="74"/>
      <c r="T468" s="73"/>
      <c r="U468" s="74"/>
    </row>
    <row r="469">
      <c r="D469" s="71"/>
      <c r="E469" s="73"/>
      <c r="N469" s="74"/>
      <c r="O469" s="74"/>
      <c r="P469" s="74"/>
      <c r="Q469" s="74"/>
      <c r="R469" s="73"/>
      <c r="S469" s="74"/>
      <c r="T469" s="73"/>
      <c r="U469" s="74"/>
    </row>
    <row r="470">
      <c r="D470" s="71"/>
      <c r="E470" s="73"/>
      <c r="N470" s="74"/>
      <c r="O470" s="74"/>
      <c r="P470" s="74"/>
      <c r="Q470" s="74"/>
      <c r="R470" s="73"/>
      <c r="S470" s="74"/>
      <c r="T470" s="73"/>
      <c r="U470" s="74"/>
    </row>
    <row r="471">
      <c r="D471" s="71"/>
      <c r="E471" s="73"/>
      <c r="N471" s="74"/>
      <c r="O471" s="74"/>
      <c r="P471" s="74"/>
      <c r="Q471" s="74"/>
      <c r="R471" s="73"/>
      <c r="S471" s="74"/>
      <c r="T471" s="73"/>
      <c r="U471" s="74"/>
    </row>
    <row r="472">
      <c r="D472" s="71"/>
      <c r="E472" s="73"/>
      <c r="N472" s="74"/>
      <c r="O472" s="74"/>
      <c r="P472" s="74"/>
      <c r="Q472" s="74"/>
      <c r="R472" s="73"/>
      <c r="S472" s="74"/>
      <c r="T472" s="73"/>
      <c r="U472" s="74"/>
    </row>
    <row r="473">
      <c r="D473" s="71"/>
      <c r="E473" s="73"/>
      <c r="N473" s="74"/>
      <c r="O473" s="74"/>
      <c r="P473" s="74"/>
      <c r="Q473" s="74"/>
      <c r="R473" s="73"/>
      <c r="S473" s="74"/>
      <c r="T473" s="73"/>
      <c r="U473" s="74"/>
    </row>
    <row r="474">
      <c r="D474" s="71"/>
      <c r="E474" s="73"/>
      <c r="N474" s="74"/>
      <c r="O474" s="74"/>
      <c r="P474" s="74"/>
      <c r="Q474" s="74"/>
      <c r="R474" s="73"/>
      <c r="S474" s="74"/>
      <c r="T474" s="73"/>
      <c r="U474" s="74"/>
    </row>
    <row r="475">
      <c r="D475" s="71"/>
      <c r="E475" s="73"/>
      <c r="N475" s="74"/>
      <c r="O475" s="74"/>
      <c r="P475" s="74"/>
      <c r="Q475" s="74"/>
      <c r="R475" s="73"/>
      <c r="S475" s="74"/>
      <c r="T475" s="73"/>
      <c r="U475" s="74"/>
    </row>
    <row r="476">
      <c r="D476" s="71"/>
      <c r="E476" s="73"/>
      <c r="N476" s="74"/>
      <c r="O476" s="74"/>
      <c r="P476" s="74"/>
      <c r="Q476" s="74"/>
      <c r="R476" s="73"/>
      <c r="S476" s="74"/>
      <c r="T476" s="73"/>
      <c r="U476" s="74"/>
    </row>
    <row r="477">
      <c r="D477" s="71"/>
      <c r="E477" s="73"/>
      <c r="N477" s="74"/>
      <c r="O477" s="74"/>
      <c r="P477" s="74"/>
      <c r="Q477" s="74"/>
      <c r="R477" s="73"/>
      <c r="S477" s="74"/>
      <c r="T477" s="73"/>
      <c r="U477" s="74"/>
    </row>
    <row r="478">
      <c r="D478" s="71"/>
      <c r="E478" s="73"/>
      <c r="N478" s="74"/>
      <c r="O478" s="74"/>
      <c r="P478" s="74"/>
      <c r="Q478" s="74"/>
      <c r="R478" s="73"/>
      <c r="S478" s="74"/>
      <c r="T478" s="73"/>
      <c r="U478" s="74"/>
    </row>
    <row r="479">
      <c r="D479" s="71"/>
      <c r="E479" s="73"/>
      <c r="N479" s="74"/>
      <c r="O479" s="74"/>
      <c r="P479" s="74"/>
      <c r="Q479" s="74"/>
      <c r="R479" s="73"/>
      <c r="S479" s="74"/>
      <c r="T479" s="73"/>
      <c r="U479" s="74"/>
    </row>
    <row r="480">
      <c r="D480" s="71"/>
      <c r="E480" s="73"/>
      <c r="N480" s="74"/>
      <c r="O480" s="74"/>
      <c r="P480" s="74"/>
      <c r="Q480" s="74"/>
      <c r="R480" s="73"/>
      <c r="S480" s="74"/>
      <c r="T480" s="73"/>
      <c r="U480" s="74"/>
    </row>
    <row r="481">
      <c r="D481" s="71"/>
      <c r="E481" s="73"/>
      <c r="N481" s="74"/>
      <c r="O481" s="74"/>
      <c r="P481" s="74"/>
      <c r="Q481" s="74"/>
      <c r="R481" s="73"/>
      <c r="S481" s="74"/>
      <c r="T481" s="73"/>
      <c r="U481" s="74"/>
    </row>
    <row r="482">
      <c r="D482" s="71"/>
      <c r="E482" s="73"/>
      <c r="N482" s="74"/>
      <c r="O482" s="74"/>
      <c r="P482" s="74"/>
      <c r="Q482" s="74"/>
      <c r="R482" s="73"/>
      <c r="S482" s="74"/>
      <c r="T482" s="73"/>
      <c r="U482" s="74"/>
    </row>
    <row r="483">
      <c r="D483" s="71"/>
      <c r="E483" s="73"/>
      <c r="N483" s="74"/>
      <c r="O483" s="74"/>
      <c r="P483" s="74"/>
      <c r="Q483" s="74"/>
      <c r="R483" s="73"/>
      <c r="S483" s="74"/>
      <c r="T483" s="73"/>
      <c r="U483" s="74"/>
    </row>
    <row r="484">
      <c r="D484" s="71"/>
      <c r="E484" s="73"/>
      <c r="N484" s="74"/>
      <c r="O484" s="74"/>
      <c r="P484" s="74"/>
      <c r="Q484" s="74"/>
      <c r="R484" s="73"/>
      <c r="S484" s="74"/>
      <c r="T484" s="73"/>
      <c r="U484" s="74"/>
    </row>
    <row r="485">
      <c r="D485" s="71"/>
      <c r="E485" s="73"/>
      <c r="N485" s="74"/>
      <c r="O485" s="74"/>
      <c r="P485" s="74"/>
      <c r="Q485" s="74"/>
      <c r="R485" s="73"/>
      <c r="S485" s="74"/>
      <c r="T485" s="73"/>
      <c r="U485" s="74"/>
    </row>
    <row r="486">
      <c r="D486" s="71"/>
      <c r="E486" s="73"/>
      <c r="N486" s="74"/>
      <c r="O486" s="74"/>
      <c r="P486" s="74"/>
      <c r="Q486" s="74"/>
      <c r="R486" s="73"/>
      <c r="S486" s="74"/>
      <c r="T486" s="73"/>
      <c r="U486" s="74"/>
    </row>
    <row r="487">
      <c r="D487" s="71"/>
      <c r="E487" s="73"/>
      <c r="N487" s="74"/>
      <c r="O487" s="74"/>
      <c r="P487" s="74"/>
      <c r="Q487" s="74"/>
      <c r="R487" s="73"/>
      <c r="S487" s="74"/>
      <c r="T487" s="73"/>
      <c r="U487" s="74"/>
    </row>
    <row r="488">
      <c r="D488" s="71"/>
      <c r="E488" s="73"/>
      <c r="N488" s="74"/>
      <c r="O488" s="74"/>
      <c r="P488" s="74"/>
      <c r="Q488" s="74"/>
      <c r="R488" s="73"/>
      <c r="S488" s="74"/>
      <c r="T488" s="73"/>
      <c r="U488" s="74"/>
    </row>
    <row r="489">
      <c r="D489" s="71"/>
      <c r="E489" s="73"/>
      <c r="N489" s="74"/>
      <c r="O489" s="74"/>
      <c r="P489" s="74"/>
      <c r="Q489" s="74"/>
      <c r="R489" s="73"/>
      <c r="S489" s="74"/>
      <c r="T489" s="73"/>
      <c r="U489" s="74"/>
    </row>
    <row r="490">
      <c r="D490" s="71"/>
      <c r="E490" s="73"/>
      <c r="N490" s="74"/>
      <c r="O490" s="74"/>
      <c r="P490" s="74"/>
      <c r="Q490" s="74"/>
      <c r="R490" s="73"/>
      <c r="S490" s="74"/>
      <c r="T490" s="73"/>
      <c r="U490" s="74"/>
    </row>
    <row r="491">
      <c r="D491" s="71"/>
      <c r="E491" s="73"/>
      <c r="N491" s="74"/>
      <c r="O491" s="74"/>
      <c r="P491" s="74"/>
      <c r="Q491" s="74"/>
      <c r="R491" s="73"/>
      <c r="S491" s="74"/>
      <c r="T491" s="73"/>
      <c r="U491" s="74"/>
    </row>
    <row r="492">
      <c r="D492" s="71"/>
      <c r="E492" s="73"/>
      <c r="N492" s="74"/>
      <c r="O492" s="74"/>
      <c r="P492" s="74"/>
      <c r="Q492" s="74"/>
      <c r="R492" s="73"/>
      <c r="S492" s="74"/>
      <c r="T492" s="73"/>
      <c r="U492" s="74"/>
    </row>
    <row r="493">
      <c r="D493" s="71"/>
      <c r="E493" s="73"/>
      <c r="N493" s="74"/>
      <c r="O493" s="74"/>
      <c r="P493" s="74"/>
      <c r="Q493" s="74"/>
      <c r="R493" s="73"/>
      <c r="S493" s="74"/>
      <c r="T493" s="73"/>
      <c r="U493" s="74"/>
    </row>
    <row r="494">
      <c r="D494" s="71"/>
      <c r="E494" s="73"/>
      <c r="N494" s="74"/>
      <c r="O494" s="74"/>
      <c r="P494" s="74"/>
      <c r="Q494" s="74"/>
      <c r="R494" s="73"/>
      <c r="S494" s="74"/>
      <c r="T494" s="73"/>
      <c r="U494" s="74"/>
    </row>
    <row r="495">
      <c r="D495" s="71"/>
      <c r="E495" s="73"/>
      <c r="N495" s="74"/>
      <c r="O495" s="74"/>
      <c r="P495" s="74"/>
      <c r="Q495" s="74"/>
      <c r="R495" s="73"/>
      <c r="S495" s="74"/>
      <c r="T495" s="73"/>
      <c r="U495" s="74"/>
    </row>
    <row r="496">
      <c r="D496" s="71"/>
      <c r="E496" s="73"/>
      <c r="N496" s="74"/>
      <c r="O496" s="74"/>
      <c r="P496" s="74"/>
      <c r="Q496" s="74"/>
      <c r="R496" s="73"/>
      <c r="S496" s="74"/>
      <c r="T496" s="73"/>
      <c r="U496" s="74"/>
    </row>
    <row r="497">
      <c r="D497" s="71"/>
      <c r="E497" s="73"/>
      <c r="N497" s="74"/>
      <c r="O497" s="74"/>
      <c r="P497" s="74"/>
      <c r="Q497" s="74"/>
      <c r="R497" s="73"/>
      <c r="S497" s="74"/>
      <c r="T497" s="73"/>
      <c r="U497" s="74"/>
    </row>
    <row r="498">
      <c r="D498" s="71"/>
      <c r="E498" s="73"/>
      <c r="N498" s="74"/>
      <c r="O498" s="74"/>
      <c r="P498" s="74"/>
      <c r="Q498" s="74"/>
      <c r="R498" s="73"/>
      <c r="S498" s="74"/>
      <c r="T498" s="73"/>
      <c r="U498" s="74"/>
    </row>
    <row r="499">
      <c r="D499" s="71"/>
      <c r="E499" s="73"/>
      <c r="N499" s="74"/>
      <c r="O499" s="74"/>
      <c r="P499" s="74"/>
      <c r="Q499" s="74"/>
      <c r="R499" s="73"/>
      <c r="S499" s="74"/>
      <c r="T499" s="73"/>
      <c r="U499" s="74"/>
    </row>
    <row r="500">
      <c r="D500" s="71"/>
      <c r="E500" s="73"/>
      <c r="N500" s="74"/>
      <c r="O500" s="74"/>
      <c r="P500" s="74"/>
      <c r="Q500" s="74"/>
      <c r="R500" s="73"/>
      <c r="S500" s="74"/>
      <c r="T500" s="73"/>
      <c r="U500" s="74"/>
    </row>
    <row r="501">
      <c r="D501" s="71"/>
      <c r="E501" s="73"/>
      <c r="N501" s="74"/>
      <c r="O501" s="74"/>
      <c r="P501" s="74"/>
      <c r="Q501" s="74"/>
      <c r="R501" s="73"/>
      <c r="S501" s="74"/>
      <c r="T501" s="73"/>
      <c r="U501" s="74"/>
    </row>
    <row r="502">
      <c r="D502" s="71"/>
      <c r="E502" s="73"/>
      <c r="N502" s="74"/>
      <c r="O502" s="74"/>
      <c r="P502" s="74"/>
      <c r="Q502" s="74"/>
      <c r="R502" s="73"/>
      <c r="S502" s="74"/>
      <c r="T502" s="73"/>
      <c r="U502" s="74"/>
    </row>
    <row r="503">
      <c r="D503" s="71"/>
      <c r="E503" s="73"/>
      <c r="N503" s="74"/>
      <c r="O503" s="74"/>
      <c r="P503" s="74"/>
      <c r="Q503" s="74"/>
      <c r="R503" s="73"/>
      <c r="S503" s="74"/>
      <c r="T503" s="73"/>
      <c r="U503" s="74"/>
    </row>
    <row r="504">
      <c r="D504" s="71"/>
      <c r="E504" s="73"/>
      <c r="N504" s="74"/>
      <c r="O504" s="74"/>
      <c r="P504" s="74"/>
      <c r="Q504" s="74"/>
      <c r="R504" s="73"/>
      <c r="S504" s="74"/>
      <c r="T504" s="73"/>
      <c r="U504" s="74"/>
    </row>
    <row r="505">
      <c r="D505" s="71"/>
      <c r="E505" s="73"/>
      <c r="N505" s="74"/>
      <c r="O505" s="74"/>
      <c r="P505" s="74"/>
      <c r="Q505" s="74"/>
      <c r="R505" s="73"/>
      <c r="S505" s="74"/>
      <c r="T505" s="73"/>
      <c r="U505" s="74"/>
    </row>
    <row r="506">
      <c r="D506" s="71"/>
      <c r="E506" s="73"/>
      <c r="N506" s="74"/>
      <c r="O506" s="74"/>
      <c r="P506" s="74"/>
      <c r="Q506" s="74"/>
      <c r="R506" s="73"/>
      <c r="S506" s="74"/>
      <c r="T506" s="73"/>
      <c r="U506" s="74"/>
    </row>
    <row r="507">
      <c r="D507" s="71"/>
      <c r="E507" s="73"/>
      <c r="N507" s="74"/>
      <c r="O507" s="74"/>
      <c r="P507" s="74"/>
      <c r="Q507" s="74"/>
      <c r="R507" s="73"/>
      <c r="S507" s="74"/>
      <c r="T507" s="73"/>
      <c r="U507" s="74"/>
    </row>
    <row r="508">
      <c r="D508" s="71"/>
      <c r="E508" s="73"/>
      <c r="N508" s="74"/>
      <c r="O508" s="74"/>
      <c r="P508" s="74"/>
      <c r="Q508" s="74"/>
      <c r="R508" s="73"/>
      <c r="S508" s="74"/>
      <c r="T508" s="73"/>
      <c r="U508" s="74"/>
    </row>
    <row r="509">
      <c r="D509" s="71"/>
      <c r="E509" s="73"/>
      <c r="N509" s="74"/>
      <c r="O509" s="74"/>
      <c r="P509" s="74"/>
      <c r="Q509" s="74"/>
      <c r="R509" s="73"/>
      <c r="S509" s="74"/>
      <c r="T509" s="73"/>
      <c r="U509" s="74"/>
    </row>
    <row r="510">
      <c r="D510" s="71"/>
      <c r="E510" s="73"/>
      <c r="N510" s="74"/>
      <c r="O510" s="74"/>
      <c r="P510" s="74"/>
      <c r="Q510" s="74"/>
      <c r="R510" s="73"/>
      <c r="S510" s="74"/>
      <c r="T510" s="73"/>
      <c r="U510" s="74"/>
    </row>
    <row r="511">
      <c r="D511" s="71"/>
      <c r="E511" s="73"/>
      <c r="N511" s="74"/>
      <c r="O511" s="74"/>
      <c r="P511" s="74"/>
      <c r="Q511" s="74"/>
      <c r="R511" s="73"/>
      <c r="S511" s="74"/>
      <c r="T511" s="73"/>
      <c r="U511" s="74"/>
    </row>
    <row r="512">
      <c r="D512" s="71"/>
      <c r="E512" s="73"/>
      <c r="N512" s="74"/>
      <c r="O512" s="74"/>
      <c r="P512" s="74"/>
      <c r="Q512" s="74"/>
      <c r="R512" s="73"/>
      <c r="S512" s="74"/>
      <c r="T512" s="73"/>
      <c r="U512" s="74"/>
    </row>
    <row r="513">
      <c r="D513" s="71"/>
      <c r="E513" s="73"/>
      <c r="N513" s="74"/>
      <c r="O513" s="74"/>
      <c r="P513" s="74"/>
      <c r="Q513" s="74"/>
      <c r="R513" s="73"/>
      <c r="S513" s="74"/>
      <c r="T513" s="73"/>
      <c r="U513" s="74"/>
    </row>
    <row r="514">
      <c r="D514" s="71"/>
      <c r="E514" s="73"/>
      <c r="N514" s="74"/>
      <c r="O514" s="74"/>
      <c r="P514" s="74"/>
      <c r="Q514" s="74"/>
      <c r="R514" s="73"/>
      <c r="S514" s="74"/>
      <c r="T514" s="73"/>
      <c r="U514" s="74"/>
    </row>
    <row r="515">
      <c r="D515" s="71"/>
      <c r="E515" s="73"/>
      <c r="N515" s="74"/>
      <c r="O515" s="74"/>
      <c r="P515" s="74"/>
      <c r="Q515" s="74"/>
      <c r="R515" s="73"/>
      <c r="S515" s="74"/>
      <c r="T515" s="73"/>
      <c r="U515" s="74"/>
    </row>
    <row r="516">
      <c r="D516" s="71"/>
      <c r="E516" s="73"/>
      <c r="N516" s="74"/>
      <c r="O516" s="74"/>
      <c r="P516" s="74"/>
      <c r="Q516" s="74"/>
      <c r="R516" s="73"/>
      <c r="S516" s="74"/>
      <c r="T516" s="73"/>
      <c r="U516" s="74"/>
    </row>
    <row r="517">
      <c r="D517" s="71"/>
      <c r="E517" s="73"/>
      <c r="N517" s="74"/>
      <c r="O517" s="74"/>
      <c r="P517" s="74"/>
      <c r="Q517" s="74"/>
      <c r="R517" s="73"/>
      <c r="S517" s="74"/>
      <c r="T517" s="73"/>
      <c r="U517" s="74"/>
    </row>
    <row r="518">
      <c r="D518" s="71"/>
      <c r="E518" s="73"/>
      <c r="N518" s="74"/>
      <c r="O518" s="74"/>
      <c r="P518" s="74"/>
      <c r="Q518" s="74"/>
      <c r="R518" s="73"/>
      <c r="S518" s="74"/>
      <c r="T518" s="73"/>
      <c r="U518" s="74"/>
    </row>
    <row r="519">
      <c r="D519" s="71"/>
      <c r="E519" s="73"/>
      <c r="N519" s="74"/>
      <c r="O519" s="74"/>
      <c r="P519" s="74"/>
      <c r="Q519" s="74"/>
      <c r="R519" s="73"/>
      <c r="S519" s="74"/>
      <c r="T519" s="73"/>
      <c r="U519" s="74"/>
    </row>
    <row r="520">
      <c r="D520" s="71"/>
      <c r="E520" s="73"/>
      <c r="N520" s="74"/>
      <c r="O520" s="74"/>
      <c r="P520" s="74"/>
      <c r="Q520" s="74"/>
      <c r="R520" s="73"/>
      <c r="S520" s="74"/>
      <c r="T520" s="73"/>
      <c r="U520" s="74"/>
    </row>
    <row r="521">
      <c r="D521" s="71"/>
      <c r="E521" s="73"/>
      <c r="N521" s="74"/>
      <c r="O521" s="74"/>
      <c r="P521" s="74"/>
      <c r="Q521" s="74"/>
      <c r="R521" s="73"/>
      <c r="S521" s="74"/>
      <c r="T521" s="73"/>
      <c r="U521" s="74"/>
    </row>
    <row r="522">
      <c r="D522" s="71"/>
      <c r="E522" s="73"/>
      <c r="N522" s="74"/>
      <c r="O522" s="74"/>
      <c r="P522" s="74"/>
      <c r="Q522" s="74"/>
      <c r="R522" s="73"/>
      <c r="S522" s="74"/>
      <c r="T522" s="73"/>
      <c r="U522" s="74"/>
    </row>
    <row r="523">
      <c r="D523" s="71"/>
      <c r="E523" s="73"/>
      <c r="N523" s="74"/>
      <c r="O523" s="74"/>
      <c r="P523" s="74"/>
      <c r="Q523" s="74"/>
      <c r="R523" s="73"/>
      <c r="S523" s="74"/>
      <c r="T523" s="73"/>
      <c r="U523" s="74"/>
    </row>
    <row r="524">
      <c r="D524" s="71"/>
      <c r="E524" s="73"/>
      <c r="N524" s="74"/>
      <c r="O524" s="74"/>
      <c r="P524" s="74"/>
      <c r="Q524" s="74"/>
      <c r="R524" s="73"/>
      <c r="S524" s="74"/>
      <c r="T524" s="73"/>
      <c r="U524" s="74"/>
    </row>
    <row r="525">
      <c r="D525" s="71"/>
      <c r="E525" s="73"/>
      <c r="N525" s="74"/>
      <c r="O525" s="74"/>
      <c r="P525" s="74"/>
      <c r="Q525" s="74"/>
      <c r="R525" s="73"/>
      <c r="S525" s="74"/>
      <c r="T525" s="73"/>
      <c r="U525" s="74"/>
    </row>
    <row r="526">
      <c r="D526" s="71"/>
      <c r="E526" s="73"/>
      <c r="N526" s="74"/>
      <c r="O526" s="74"/>
      <c r="P526" s="74"/>
      <c r="Q526" s="74"/>
      <c r="R526" s="73"/>
      <c r="S526" s="74"/>
      <c r="T526" s="73"/>
      <c r="U526" s="74"/>
    </row>
    <row r="527">
      <c r="D527" s="71"/>
      <c r="E527" s="73"/>
      <c r="N527" s="74"/>
      <c r="O527" s="74"/>
      <c r="P527" s="74"/>
      <c r="Q527" s="74"/>
      <c r="R527" s="73"/>
      <c r="S527" s="74"/>
      <c r="T527" s="73"/>
      <c r="U527" s="74"/>
    </row>
    <row r="528">
      <c r="D528" s="71"/>
      <c r="E528" s="73"/>
      <c r="N528" s="74"/>
      <c r="O528" s="74"/>
      <c r="P528" s="74"/>
      <c r="Q528" s="74"/>
      <c r="R528" s="73"/>
      <c r="S528" s="74"/>
      <c r="T528" s="73"/>
      <c r="U528" s="74"/>
    </row>
    <row r="529">
      <c r="D529" s="71"/>
      <c r="E529" s="73"/>
      <c r="N529" s="74"/>
      <c r="O529" s="74"/>
      <c r="P529" s="74"/>
      <c r="Q529" s="74"/>
      <c r="R529" s="73"/>
      <c r="S529" s="74"/>
      <c r="T529" s="73"/>
      <c r="U529" s="74"/>
    </row>
    <row r="530">
      <c r="D530" s="71"/>
      <c r="E530" s="73"/>
      <c r="N530" s="74"/>
      <c r="O530" s="74"/>
      <c r="P530" s="74"/>
      <c r="Q530" s="74"/>
      <c r="R530" s="73"/>
      <c r="S530" s="74"/>
      <c r="T530" s="73"/>
      <c r="U530" s="74"/>
    </row>
    <row r="531">
      <c r="D531" s="71"/>
      <c r="E531" s="73"/>
      <c r="N531" s="74"/>
      <c r="O531" s="74"/>
      <c r="P531" s="74"/>
      <c r="Q531" s="74"/>
      <c r="R531" s="73"/>
      <c r="S531" s="74"/>
      <c r="T531" s="73"/>
      <c r="U531" s="74"/>
    </row>
    <row r="532">
      <c r="D532" s="71"/>
      <c r="E532" s="73"/>
      <c r="N532" s="74"/>
      <c r="O532" s="74"/>
      <c r="P532" s="74"/>
      <c r="Q532" s="74"/>
      <c r="R532" s="73"/>
      <c r="S532" s="74"/>
      <c r="T532" s="73"/>
      <c r="U532" s="74"/>
    </row>
    <row r="533">
      <c r="D533" s="71"/>
      <c r="E533" s="73"/>
      <c r="N533" s="74"/>
      <c r="O533" s="74"/>
      <c r="P533" s="74"/>
      <c r="Q533" s="74"/>
      <c r="R533" s="73"/>
      <c r="S533" s="74"/>
      <c r="T533" s="73"/>
      <c r="U533" s="74"/>
    </row>
    <row r="534">
      <c r="D534" s="71"/>
      <c r="E534" s="73"/>
      <c r="N534" s="74"/>
      <c r="O534" s="74"/>
      <c r="P534" s="74"/>
      <c r="Q534" s="74"/>
      <c r="R534" s="73"/>
      <c r="S534" s="74"/>
      <c r="T534" s="73"/>
      <c r="U534" s="74"/>
    </row>
    <row r="535">
      <c r="D535" s="71"/>
      <c r="E535" s="73"/>
      <c r="N535" s="74"/>
      <c r="O535" s="74"/>
      <c r="P535" s="74"/>
      <c r="Q535" s="74"/>
      <c r="R535" s="73"/>
      <c r="S535" s="74"/>
      <c r="T535" s="73"/>
      <c r="U535" s="74"/>
    </row>
    <row r="536">
      <c r="D536" s="71"/>
      <c r="E536" s="73"/>
      <c r="N536" s="74"/>
      <c r="O536" s="74"/>
      <c r="P536" s="74"/>
      <c r="Q536" s="74"/>
      <c r="R536" s="73"/>
      <c r="S536" s="74"/>
      <c r="T536" s="73"/>
      <c r="U536" s="74"/>
    </row>
    <row r="537">
      <c r="D537" s="71"/>
      <c r="E537" s="73"/>
      <c r="N537" s="74"/>
      <c r="O537" s="74"/>
      <c r="P537" s="74"/>
      <c r="Q537" s="74"/>
      <c r="R537" s="73"/>
      <c r="S537" s="74"/>
      <c r="T537" s="73"/>
      <c r="U537" s="74"/>
    </row>
    <row r="538">
      <c r="D538" s="71"/>
      <c r="E538" s="73"/>
      <c r="N538" s="74"/>
      <c r="O538" s="74"/>
      <c r="P538" s="74"/>
      <c r="Q538" s="74"/>
      <c r="R538" s="73"/>
      <c r="S538" s="74"/>
      <c r="T538" s="73"/>
      <c r="U538" s="74"/>
    </row>
    <row r="539">
      <c r="D539" s="71"/>
      <c r="E539" s="73"/>
      <c r="N539" s="74"/>
      <c r="O539" s="74"/>
      <c r="P539" s="74"/>
      <c r="Q539" s="74"/>
      <c r="R539" s="73"/>
      <c r="S539" s="74"/>
      <c r="T539" s="73"/>
      <c r="U539" s="74"/>
    </row>
    <row r="540">
      <c r="D540" s="71"/>
      <c r="E540" s="73"/>
      <c r="N540" s="74"/>
      <c r="O540" s="74"/>
      <c r="P540" s="74"/>
      <c r="Q540" s="74"/>
      <c r="R540" s="73"/>
      <c r="S540" s="74"/>
      <c r="T540" s="73"/>
      <c r="U540" s="74"/>
    </row>
    <row r="541">
      <c r="D541" s="71"/>
      <c r="E541" s="73"/>
      <c r="N541" s="74"/>
      <c r="O541" s="74"/>
      <c r="P541" s="74"/>
      <c r="Q541" s="74"/>
      <c r="R541" s="73"/>
      <c r="S541" s="74"/>
      <c r="T541" s="73"/>
      <c r="U541" s="74"/>
    </row>
    <row r="542">
      <c r="D542" s="71"/>
      <c r="E542" s="73"/>
      <c r="N542" s="74"/>
      <c r="O542" s="74"/>
      <c r="P542" s="74"/>
      <c r="Q542" s="74"/>
      <c r="R542" s="73"/>
      <c r="S542" s="74"/>
      <c r="T542" s="73"/>
      <c r="U542" s="74"/>
    </row>
    <row r="543">
      <c r="D543" s="71"/>
      <c r="E543" s="73"/>
      <c r="N543" s="74"/>
      <c r="O543" s="74"/>
      <c r="P543" s="74"/>
      <c r="Q543" s="74"/>
      <c r="R543" s="73"/>
      <c r="S543" s="74"/>
      <c r="T543" s="73"/>
      <c r="U543" s="74"/>
    </row>
    <row r="544">
      <c r="D544" s="71"/>
      <c r="E544" s="73"/>
      <c r="N544" s="74"/>
      <c r="O544" s="74"/>
      <c r="P544" s="74"/>
      <c r="Q544" s="74"/>
      <c r="R544" s="73"/>
      <c r="S544" s="74"/>
      <c r="T544" s="73"/>
      <c r="U544" s="74"/>
    </row>
    <row r="545">
      <c r="D545" s="71"/>
      <c r="E545" s="73"/>
      <c r="N545" s="74"/>
      <c r="O545" s="74"/>
      <c r="P545" s="74"/>
      <c r="Q545" s="74"/>
      <c r="R545" s="73"/>
      <c r="S545" s="74"/>
      <c r="T545" s="73"/>
      <c r="U545" s="74"/>
    </row>
    <row r="546">
      <c r="D546" s="71"/>
      <c r="E546" s="73"/>
      <c r="N546" s="74"/>
      <c r="O546" s="74"/>
      <c r="P546" s="74"/>
      <c r="Q546" s="74"/>
      <c r="R546" s="73"/>
      <c r="S546" s="74"/>
      <c r="T546" s="73"/>
      <c r="U546" s="74"/>
    </row>
    <row r="547">
      <c r="D547" s="71"/>
      <c r="E547" s="73"/>
      <c r="N547" s="74"/>
      <c r="O547" s="74"/>
      <c r="P547" s="74"/>
      <c r="Q547" s="74"/>
      <c r="R547" s="73"/>
      <c r="S547" s="74"/>
      <c r="T547" s="73"/>
      <c r="U547" s="74"/>
    </row>
    <row r="548">
      <c r="D548" s="71"/>
      <c r="E548" s="73"/>
      <c r="N548" s="74"/>
      <c r="O548" s="74"/>
      <c r="P548" s="74"/>
      <c r="Q548" s="74"/>
      <c r="R548" s="73"/>
      <c r="S548" s="74"/>
      <c r="T548" s="73"/>
      <c r="U548" s="74"/>
    </row>
    <row r="549">
      <c r="D549" s="71"/>
      <c r="E549" s="73"/>
      <c r="N549" s="74"/>
      <c r="O549" s="74"/>
      <c r="P549" s="74"/>
      <c r="Q549" s="74"/>
      <c r="R549" s="73"/>
      <c r="S549" s="74"/>
      <c r="T549" s="73"/>
      <c r="U549" s="74"/>
    </row>
    <row r="550">
      <c r="D550" s="71"/>
      <c r="E550" s="73"/>
      <c r="N550" s="74"/>
      <c r="O550" s="74"/>
      <c r="P550" s="74"/>
      <c r="Q550" s="74"/>
      <c r="R550" s="73"/>
      <c r="S550" s="74"/>
      <c r="T550" s="73"/>
      <c r="U550" s="74"/>
    </row>
    <row r="551">
      <c r="D551" s="71"/>
      <c r="E551" s="73"/>
      <c r="N551" s="74"/>
      <c r="O551" s="74"/>
      <c r="P551" s="74"/>
      <c r="Q551" s="74"/>
      <c r="R551" s="73"/>
      <c r="S551" s="74"/>
      <c r="T551" s="73"/>
      <c r="U551" s="74"/>
    </row>
    <row r="552">
      <c r="D552" s="71"/>
      <c r="E552" s="73"/>
      <c r="N552" s="74"/>
      <c r="O552" s="74"/>
      <c r="P552" s="74"/>
      <c r="Q552" s="74"/>
      <c r="R552" s="73"/>
      <c r="S552" s="74"/>
      <c r="T552" s="73"/>
      <c r="U552" s="74"/>
    </row>
    <row r="553">
      <c r="D553" s="71"/>
      <c r="E553" s="73"/>
      <c r="N553" s="74"/>
      <c r="O553" s="74"/>
      <c r="P553" s="74"/>
      <c r="Q553" s="74"/>
      <c r="R553" s="73"/>
      <c r="S553" s="74"/>
      <c r="T553" s="73"/>
      <c r="U553" s="74"/>
    </row>
    <row r="554">
      <c r="D554" s="71"/>
      <c r="E554" s="73"/>
      <c r="N554" s="74"/>
      <c r="O554" s="74"/>
      <c r="P554" s="74"/>
      <c r="Q554" s="74"/>
      <c r="R554" s="73"/>
      <c r="S554" s="74"/>
      <c r="T554" s="73"/>
      <c r="U554" s="74"/>
    </row>
    <row r="555">
      <c r="D555" s="71"/>
      <c r="E555" s="73"/>
      <c r="N555" s="74"/>
      <c r="O555" s="74"/>
      <c r="P555" s="74"/>
      <c r="Q555" s="74"/>
      <c r="R555" s="73"/>
      <c r="S555" s="74"/>
      <c r="T555" s="73"/>
      <c r="U555" s="74"/>
    </row>
    <row r="556">
      <c r="D556" s="71"/>
      <c r="E556" s="73"/>
      <c r="N556" s="74"/>
      <c r="O556" s="74"/>
      <c r="P556" s="74"/>
      <c r="Q556" s="74"/>
      <c r="R556" s="73"/>
      <c r="S556" s="74"/>
      <c r="T556" s="73"/>
      <c r="U556" s="74"/>
    </row>
    <row r="557">
      <c r="D557" s="71"/>
      <c r="E557" s="73"/>
      <c r="N557" s="74"/>
      <c r="O557" s="74"/>
      <c r="P557" s="74"/>
      <c r="Q557" s="74"/>
      <c r="R557" s="73"/>
      <c r="S557" s="74"/>
      <c r="T557" s="73"/>
      <c r="U557" s="74"/>
    </row>
    <row r="558">
      <c r="D558" s="71"/>
      <c r="E558" s="73"/>
      <c r="N558" s="74"/>
      <c r="O558" s="74"/>
      <c r="P558" s="74"/>
      <c r="Q558" s="74"/>
      <c r="R558" s="73"/>
      <c r="S558" s="74"/>
      <c r="T558" s="73"/>
      <c r="U558" s="74"/>
    </row>
    <row r="559">
      <c r="D559" s="71"/>
      <c r="E559" s="73"/>
      <c r="N559" s="74"/>
      <c r="O559" s="74"/>
      <c r="P559" s="74"/>
      <c r="Q559" s="74"/>
      <c r="R559" s="73"/>
      <c r="S559" s="74"/>
      <c r="T559" s="73"/>
      <c r="U559" s="74"/>
    </row>
    <row r="560">
      <c r="D560" s="71"/>
      <c r="E560" s="73"/>
      <c r="N560" s="74"/>
      <c r="O560" s="74"/>
      <c r="P560" s="74"/>
      <c r="Q560" s="74"/>
      <c r="R560" s="73"/>
      <c r="S560" s="74"/>
      <c r="T560" s="73"/>
      <c r="U560" s="74"/>
    </row>
    <row r="561">
      <c r="D561" s="71"/>
      <c r="E561" s="73"/>
      <c r="N561" s="74"/>
      <c r="O561" s="74"/>
      <c r="P561" s="74"/>
      <c r="Q561" s="74"/>
      <c r="R561" s="73"/>
      <c r="S561" s="74"/>
      <c r="T561" s="73"/>
      <c r="U561" s="74"/>
    </row>
    <row r="562">
      <c r="D562" s="71"/>
      <c r="E562" s="73"/>
      <c r="N562" s="74"/>
      <c r="O562" s="74"/>
      <c r="P562" s="74"/>
      <c r="Q562" s="74"/>
      <c r="R562" s="73"/>
      <c r="S562" s="74"/>
      <c r="T562" s="73"/>
      <c r="U562" s="74"/>
    </row>
    <row r="563">
      <c r="D563" s="71"/>
      <c r="E563" s="73"/>
      <c r="N563" s="74"/>
      <c r="O563" s="74"/>
      <c r="P563" s="74"/>
      <c r="Q563" s="74"/>
      <c r="R563" s="73"/>
      <c r="S563" s="74"/>
      <c r="T563" s="73"/>
      <c r="U563" s="74"/>
    </row>
    <row r="564">
      <c r="D564" s="71"/>
      <c r="E564" s="73"/>
      <c r="N564" s="74"/>
      <c r="O564" s="74"/>
      <c r="P564" s="74"/>
      <c r="Q564" s="74"/>
      <c r="R564" s="73"/>
      <c r="S564" s="74"/>
      <c r="T564" s="73"/>
      <c r="U564" s="74"/>
    </row>
    <row r="565">
      <c r="D565" s="71"/>
      <c r="E565" s="73"/>
      <c r="N565" s="74"/>
      <c r="O565" s="74"/>
      <c r="P565" s="74"/>
      <c r="Q565" s="74"/>
      <c r="R565" s="73"/>
      <c r="S565" s="74"/>
      <c r="T565" s="73"/>
      <c r="U565" s="74"/>
    </row>
    <row r="566">
      <c r="D566" s="71"/>
      <c r="E566" s="73"/>
      <c r="N566" s="74"/>
      <c r="O566" s="74"/>
      <c r="P566" s="74"/>
      <c r="Q566" s="74"/>
      <c r="R566" s="73"/>
      <c r="S566" s="74"/>
      <c r="T566" s="73"/>
      <c r="U566" s="74"/>
    </row>
    <row r="567">
      <c r="D567" s="71"/>
      <c r="E567" s="73"/>
      <c r="N567" s="74"/>
      <c r="O567" s="74"/>
      <c r="P567" s="74"/>
      <c r="Q567" s="74"/>
      <c r="R567" s="73"/>
      <c r="S567" s="74"/>
      <c r="T567" s="73"/>
      <c r="U567" s="74"/>
    </row>
    <row r="568">
      <c r="D568" s="71"/>
      <c r="E568" s="73"/>
      <c r="N568" s="74"/>
      <c r="O568" s="74"/>
      <c r="P568" s="74"/>
      <c r="Q568" s="74"/>
      <c r="R568" s="73"/>
      <c r="S568" s="74"/>
      <c r="T568" s="73"/>
      <c r="U568" s="74"/>
    </row>
    <row r="569">
      <c r="D569" s="71"/>
      <c r="E569" s="73"/>
      <c r="N569" s="74"/>
      <c r="O569" s="74"/>
      <c r="P569" s="74"/>
      <c r="Q569" s="74"/>
      <c r="R569" s="73"/>
      <c r="S569" s="74"/>
      <c r="T569" s="73"/>
      <c r="U569" s="74"/>
    </row>
    <row r="570">
      <c r="D570" s="71"/>
      <c r="E570" s="73"/>
      <c r="N570" s="74"/>
      <c r="O570" s="74"/>
      <c r="P570" s="74"/>
      <c r="Q570" s="74"/>
      <c r="R570" s="73"/>
      <c r="S570" s="74"/>
      <c r="T570" s="73"/>
      <c r="U570" s="74"/>
    </row>
    <row r="571">
      <c r="D571" s="71"/>
      <c r="E571" s="73"/>
      <c r="N571" s="74"/>
      <c r="O571" s="74"/>
      <c r="P571" s="74"/>
      <c r="Q571" s="74"/>
      <c r="R571" s="73"/>
      <c r="S571" s="74"/>
      <c r="T571" s="73"/>
      <c r="U571" s="74"/>
    </row>
    <row r="572">
      <c r="D572" s="71"/>
      <c r="E572" s="73"/>
      <c r="N572" s="74"/>
      <c r="O572" s="74"/>
      <c r="P572" s="74"/>
      <c r="Q572" s="74"/>
      <c r="R572" s="73"/>
      <c r="S572" s="74"/>
      <c r="T572" s="73"/>
      <c r="U572" s="74"/>
    </row>
    <row r="573">
      <c r="D573" s="71"/>
      <c r="E573" s="73"/>
      <c r="N573" s="74"/>
      <c r="O573" s="74"/>
      <c r="P573" s="74"/>
      <c r="Q573" s="74"/>
      <c r="R573" s="73"/>
      <c r="S573" s="74"/>
      <c r="T573" s="73"/>
      <c r="U573" s="74"/>
    </row>
    <row r="574">
      <c r="D574" s="71"/>
      <c r="E574" s="73"/>
      <c r="N574" s="74"/>
      <c r="O574" s="74"/>
      <c r="P574" s="74"/>
      <c r="Q574" s="74"/>
      <c r="R574" s="73"/>
      <c r="S574" s="74"/>
      <c r="T574" s="73"/>
      <c r="U574" s="74"/>
    </row>
    <row r="575">
      <c r="D575" s="71"/>
      <c r="E575" s="73"/>
      <c r="N575" s="74"/>
      <c r="O575" s="74"/>
      <c r="P575" s="74"/>
      <c r="Q575" s="74"/>
      <c r="R575" s="73"/>
      <c r="S575" s="74"/>
      <c r="T575" s="73"/>
      <c r="U575" s="74"/>
    </row>
    <row r="576">
      <c r="D576" s="71"/>
      <c r="E576" s="73"/>
      <c r="N576" s="74"/>
      <c r="O576" s="74"/>
      <c r="P576" s="74"/>
      <c r="Q576" s="74"/>
      <c r="R576" s="73"/>
      <c r="S576" s="74"/>
      <c r="T576" s="73"/>
      <c r="U576" s="74"/>
    </row>
    <row r="577">
      <c r="D577" s="71"/>
      <c r="E577" s="73"/>
      <c r="N577" s="74"/>
      <c r="O577" s="74"/>
      <c r="P577" s="74"/>
      <c r="Q577" s="74"/>
      <c r="R577" s="73"/>
      <c r="S577" s="74"/>
      <c r="T577" s="73"/>
      <c r="U577" s="74"/>
    </row>
    <row r="578">
      <c r="D578" s="71"/>
      <c r="E578" s="73"/>
      <c r="N578" s="74"/>
      <c r="O578" s="74"/>
      <c r="P578" s="74"/>
      <c r="Q578" s="74"/>
      <c r="R578" s="73"/>
      <c r="S578" s="74"/>
      <c r="T578" s="73"/>
      <c r="U578" s="74"/>
    </row>
    <row r="579">
      <c r="D579" s="71"/>
      <c r="E579" s="73"/>
      <c r="N579" s="74"/>
      <c r="O579" s="74"/>
      <c r="P579" s="74"/>
      <c r="Q579" s="74"/>
      <c r="R579" s="73"/>
      <c r="S579" s="74"/>
      <c r="T579" s="73"/>
      <c r="U579" s="74"/>
    </row>
    <row r="580">
      <c r="D580" s="71"/>
      <c r="E580" s="73"/>
      <c r="N580" s="74"/>
      <c r="O580" s="74"/>
      <c r="P580" s="74"/>
      <c r="Q580" s="74"/>
      <c r="R580" s="73"/>
      <c r="S580" s="74"/>
      <c r="T580" s="73"/>
      <c r="U580" s="74"/>
    </row>
    <row r="581">
      <c r="D581" s="71"/>
      <c r="E581" s="73"/>
      <c r="N581" s="74"/>
      <c r="O581" s="74"/>
      <c r="P581" s="74"/>
      <c r="Q581" s="74"/>
      <c r="R581" s="73"/>
      <c r="S581" s="74"/>
      <c r="T581" s="73"/>
      <c r="U581" s="74"/>
    </row>
    <row r="582">
      <c r="D582" s="71"/>
      <c r="E582" s="73"/>
      <c r="N582" s="74"/>
      <c r="O582" s="74"/>
      <c r="P582" s="74"/>
      <c r="Q582" s="74"/>
      <c r="R582" s="73"/>
      <c r="S582" s="74"/>
      <c r="T582" s="73"/>
      <c r="U582" s="74"/>
    </row>
    <row r="583">
      <c r="D583" s="71"/>
      <c r="E583" s="73"/>
      <c r="N583" s="74"/>
      <c r="O583" s="74"/>
      <c r="P583" s="74"/>
      <c r="Q583" s="74"/>
      <c r="R583" s="73"/>
      <c r="S583" s="74"/>
      <c r="T583" s="73"/>
      <c r="U583" s="74"/>
    </row>
    <row r="584">
      <c r="D584" s="71"/>
      <c r="E584" s="73"/>
      <c r="N584" s="74"/>
      <c r="O584" s="74"/>
      <c r="P584" s="74"/>
      <c r="Q584" s="74"/>
      <c r="R584" s="73"/>
      <c r="S584" s="74"/>
      <c r="T584" s="73"/>
      <c r="U584" s="74"/>
    </row>
    <row r="585">
      <c r="D585" s="71"/>
      <c r="E585" s="73"/>
      <c r="N585" s="74"/>
      <c r="O585" s="74"/>
      <c r="P585" s="74"/>
      <c r="Q585" s="74"/>
      <c r="R585" s="73"/>
      <c r="S585" s="74"/>
      <c r="T585" s="73"/>
      <c r="U585" s="74"/>
    </row>
    <row r="586">
      <c r="D586" s="71"/>
      <c r="E586" s="73"/>
      <c r="N586" s="74"/>
      <c r="O586" s="74"/>
      <c r="P586" s="74"/>
      <c r="Q586" s="74"/>
      <c r="R586" s="73"/>
      <c r="S586" s="74"/>
      <c r="T586" s="73"/>
      <c r="U586" s="74"/>
    </row>
    <row r="587">
      <c r="D587" s="71"/>
      <c r="E587" s="73"/>
      <c r="N587" s="74"/>
      <c r="O587" s="74"/>
      <c r="P587" s="74"/>
      <c r="Q587" s="74"/>
      <c r="R587" s="73"/>
      <c r="S587" s="74"/>
      <c r="T587" s="73"/>
      <c r="U587" s="74"/>
    </row>
    <row r="588">
      <c r="D588" s="71"/>
      <c r="E588" s="73"/>
      <c r="N588" s="74"/>
      <c r="O588" s="74"/>
      <c r="P588" s="74"/>
      <c r="Q588" s="74"/>
      <c r="R588" s="73"/>
      <c r="S588" s="74"/>
      <c r="T588" s="73"/>
      <c r="U588" s="74"/>
    </row>
    <row r="589">
      <c r="D589" s="71"/>
      <c r="E589" s="73"/>
      <c r="N589" s="74"/>
      <c r="O589" s="74"/>
      <c r="P589" s="74"/>
      <c r="Q589" s="74"/>
      <c r="R589" s="73"/>
      <c r="S589" s="74"/>
      <c r="T589" s="73"/>
      <c r="U589" s="74"/>
    </row>
    <row r="590">
      <c r="D590" s="71"/>
      <c r="E590" s="73"/>
      <c r="N590" s="74"/>
      <c r="O590" s="74"/>
      <c r="P590" s="74"/>
      <c r="Q590" s="74"/>
      <c r="R590" s="73"/>
      <c r="S590" s="74"/>
      <c r="T590" s="73"/>
      <c r="U590" s="74"/>
    </row>
    <row r="591">
      <c r="D591" s="71"/>
      <c r="E591" s="73"/>
      <c r="N591" s="74"/>
      <c r="O591" s="74"/>
      <c r="P591" s="74"/>
      <c r="Q591" s="74"/>
      <c r="R591" s="73"/>
      <c r="S591" s="74"/>
      <c r="T591" s="73"/>
      <c r="U591" s="74"/>
    </row>
    <row r="592">
      <c r="D592" s="71"/>
      <c r="E592" s="73"/>
      <c r="N592" s="74"/>
      <c r="O592" s="74"/>
      <c r="P592" s="74"/>
      <c r="Q592" s="74"/>
      <c r="R592" s="73"/>
      <c r="S592" s="74"/>
      <c r="T592" s="73"/>
      <c r="U592" s="74"/>
    </row>
    <row r="593">
      <c r="D593" s="71"/>
      <c r="E593" s="73"/>
      <c r="N593" s="74"/>
      <c r="O593" s="74"/>
      <c r="P593" s="74"/>
      <c r="Q593" s="74"/>
      <c r="R593" s="73"/>
      <c r="S593" s="74"/>
      <c r="T593" s="73"/>
      <c r="U593" s="74"/>
    </row>
    <row r="594">
      <c r="D594" s="71"/>
      <c r="E594" s="73"/>
      <c r="N594" s="74"/>
      <c r="O594" s="74"/>
      <c r="P594" s="74"/>
      <c r="Q594" s="74"/>
      <c r="R594" s="73"/>
      <c r="S594" s="74"/>
      <c r="T594" s="73"/>
      <c r="U594" s="74"/>
    </row>
    <row r="595">
      <c r="D595" s="71"/>
      <c r="E595" s="73"/>
      <c r="N595" s="74"/>
      <c r="O595" s="74"/>
      <c r="P595" s="74"/>
      <c r="Q595" s="74"/>
      <c r="R595" s="73"/>
      <c r="S595" s="74"/>
      <c r="T595" s="73"/>
      <c r="U595" s="74"/>
    </row>
    <row r="596">
      <c r="D596" s="71"/>
      <c r="E596" s="73"/>
      <c r="N596" s="74"/>
      <c r="O596" s="74"/>
      <c r="P596" s="74"/>
      <c r="Q596" s="74"/>
      <c r="R596" s="73"/>
      <c r="S596" s="74"/>
      <c r="T596" s="73"/>
      <c r="U596" s="74"/>
    </row>
    <row r="597">
      <c r="D597" s="71"/>
      <c r="E597" s="73"/>
      <c r="N597" s="74"/>
      <c r="O597" s="74"/>
      <c r="P597" s="74"/>
      <c r="Q597" s="74"/>
      <c r="R597" s="73"/>
      <c r="S597" s="74"/>
      <c r="T597" s="73"/>
      <c r="U597" s="74"/>
    </row>
    <row r="598">
      <c r="D598" s="71"/>
      <c r="E598" s="73"/>
      <c r="N598" s="74"/>
      <c r="O598" s="74"/>
      <c r="P598" s="74"/>
      <c r="Q598" s="74"/>
      <c r="R598" s="73"/>
      <c r="S598" s="74"/>
      <c r="T598" s="73"/>
      <c r="U598" s="74"/>
    </row>
    <row r="599">
      <c r="D599" s="71"/>
      <c r="E599" s="73"/>
      <c r="N599" s="74"/>
      <c r="O599" s="74"/>
      <c r="P599" s="74"/>
      <c r="Q599" s="74"/>
      <c r="R599" s="73"/>
      <c r="S599" s="74"/>
      <c r="T599" s="73"/>
      <c r="U599" s="74"/>
    </row>
    <row r="600">
      <c r="D600" s="71"/>
      <c r="E600" s="73"/>
      <c r="N600" s="74"/>
      <c r="O600" s="74"/>
      <c r="P600" s="74"/>
      <c r="Q600" s="74"/>
      <c r="R600" s="73"/>
      <c r="S600" s="74"/>
      <c r="T600" s="73"/>
      <c r="U600" s="74"/>
    </row>
    <row r="601">
      <c r="D601" s="71"/>
      <c r="E601" s="73"/>
      <c r="N601" s="74"/>
      <c r="O601" s="74"/>
      <c r="P601" s="74"/>
      <c r="Q601" s="74"/>
      <c r="R601" s="73"/>
      <c r="S601" s="74"/>
      <c r="T601" s="73"/>
      <c r="U601" s="74"/>
    </row>
    <row r="602">
      <c r="D602" s="71"/>
      <c r="E602" s="73"/>
      <c r="N602" s="74"/>
      <c r="O602" s="74"/>
      <c r="P602" s="74"/>
      <c r="Q602" s="74"/>
      <c r="R602" s="73"/>
      <c r="S602" s="74"/>
      <c r="T602" s="73"/>
      <c r="U602" s="74"/>
    </row>
    <row r="603">
      <c r="D603" s="71"/>
      <c r="E603" s="73"/>
      <c r="N603" s="74"/>
      <c r="O603" s="74"/>
      <c r="P603" s="74"/>
      <c r="Q603" s="74"/>
      <c r="R603" s="73"/>
      <c r="S603" s="74"/>
      <c r="T603" s="73"/>
      <c r="U603" s="74"/>
    </row>
    <row r="604">
      <c r="D604" s="71"/>
      <c r="E604" s="73"/>
      <c r="N604" s="74"/>
      <c r="O604" s="74"/>
      <c r="P604" s="74"/>
      <c r="Q604" s="74"/>
      <c r="R604" s="73"/>
      <c r="S604" s="74"/>
      <c r="T604" s="73"/>
      <c r="U604" s="74"/>
    </row>
    <row r="605">
      <c r="D605" s="71"/>
      <c r="E605" s="73"/>
      <c r="N605" s="74"/>
      <c r="O605" s="74"/>
      <c r="P605" s="74"/>
      <c r="Q605" s="74"/>
      <c r="R605" s="73"/>
      <c r="S605" s="74"/>
      <c r="T605" s="73"/>
      <c r="U605" s="74"/>
    </row>
    <row r="606">
      <c r="D606" s="71"/>
      <c r="E606" s="73"/>
      <c r="N606" s="74"/>
      <c r="O606" s="74"/>
      <c r="P606" s="74"/>
      <c r="Q606" s="74"/>
      <c r="R606" s="73"/>
      <c r="S606" s="74"/>
      <c r="T606" s="73"/>
      <c r="U606" s="74"/>
    </row>
    <row r="607">
      <c r="D607" s="71"/>
      <c r="E607" s="73"/>
      <c r="N607" s="74"/>
      <c r="O607" s="74"/>
      <c r="P607" s="74"/>
      <c r="Q607" s="74"/>
      <c r="R607" s="73"/>
      <c r="S607" s="74"/>
      <c r="T607" s="73"/>
      <c r="U607" s="74"/>
    </row>
    <row r="608">
      <c r="D608" s="71"/>
      <c r="E608" s="73"/>
      <c r="N608" s="74"/>
      <c r="O608" s="74"/>
      <c r="P608" s="74"/>
      <c r="Q608" s="74"/>
      <c r="R608" s="73"/>
      <c r="S608" s="74"/>
      <c r="T608" s="73"/>
      <c r="U608" s="74"/>
    </row>
    <row r="609">
      <c r="D609" s="71"/>
      <c r="E609" s="73"/>
      <c r="N609" s="74"/>
      <c r="O609" s="74"/>
      <c r="P609" s="74"/>
      <c r="Q609" s="74"/>
      <c r="R609" s="73"/>
      <c r="S609" s="74"/>
      <c r="T609" s="73"/>
      <c r="U609" s="74"/>
    </row>
    <row r="610">
      <c r="D610" s="71"/>
      <c r="E610" s="73"/>
      <c r="N610" s="74"/>
      <c r="O610" s="74"/>
      <c r="P610" s="74"/>
      <c r="Q610" s="74"/>
      <c r="R610" s="73"/>
      <c r="S610" s="74"/>
      <c r="T610" s="73"/>
      <c r="U610" s="74"/>
    </row>
    <row r="611">
      <c r="D611" s="71"/>
      <c r="E611" s="73"/>
      <c r="N611" s="74"/>
      <c r="O611" s="74"/>
      <c r="P611" s="74"/>
      <c r="Q611" s="74"/>
      <c r="R611" s="73"/>
      <c r="S611" s="74"/>
      <c r="T611" s="73"/>
      <c r="U611" s="74"/>
    </row>
    <row r="612">
      <c r="D612" s="71"/>
      <c r="E612" s="73"/>
      <c r="N612" s="74"/>
      <c r="O612" s="74"/>
      <c r="P612" s="74"/>
      <c r="Q612" s="74"/>
      <c r="R612" s="73"/>
      <c r="S612" s="74"/>
      <c r="T612" s="73"/>
      <c r="U612" s="74"/>
    </row>
    <row r="613">
      <c r="D613" s="71"/>
      <c r="E613" s="73"/>
      <c r="N613" s="74"/>
      <c r="O613" s="74"/>
      <c r="P613" s="74"/>
      <c r="Q613" s="74"/>
      <c r="R613" s="73"/>
      <c r="S613" s="74"/>
      <c r="T613" s="73"/>
      <c r="U613" s="74"/>
    </row>
    <row r="614">
      <c r="D614" s="71"/>
      <c r="E614" s="73"/>
      <c r="N614" s="74"/>
      <c r="O614" s="74"/>
      <c r="P614" s="74"/>
      <c r="Q614" s="74"/>
      <c r="R614" s="73"/>
      <c r="S614" s="74"/>
      <c r="T614" s="73"/>
      <c r="U614" s="74"/>
    </row>
    <row r="615">
      <c r="D615" s="71"/>
      <c r="E615" s="73"/>
      <c r="N615" s="74"/>
      <c r="O615" s="74"/>
      <c r="P615" s="74"/>
      <c r="Q615" s="74"/>
      <c r="R615" s="73"/>
      <c r="S615" s="74"/>
      <c r="T615" s="73"/>
      <c r="U615" s="74"/>
    </row>
    <row r="616">
      <c r="D616" s="71"/>
      <c r="E616" s="73"/>
      <c r="N616" s="74"/>
      <c r="O616" s="74"/>
      <c r="P616" s="74"/>
      <c r="Q616" s="74"/>
      <c r="R616" s="73"/>
      <c r="S616" s="74"/>
      <c r="T616" s="73"/>
      <c r="U616" s="74"/>
    </row>
    <row r="617">
      <c r="D617" s="71"/>
      <c r="E617" s="73"/>
      <c r="N617" s="74"/>
      <c r="O617" s="74"/>
      <c r="P617" s="74"/>
      <c r="Q617" s="74"/>
      <c r="R617" s="73"/>
      <c r="S617" s="74"/>
      <c r="T617" s="73"/>
      <c r="U617" s="74"/>
    </row>
    <row r="618">
      <c r="D618" s="71"/>
      <c r="E618" s="73"/>
      <c r="N618" s="74"/>
      <c r="O618" s="74"/>
      <c r="P618" s="74"/>
      <c r="Q618" s="74"/>
      <c r="R618" s="73"/>
      <c r="S618" s="74"/>
      <c r="T618" s="73"/>
      <c r="U618" s="74"/>
    </row>
    <row r="619">
      <c r="D619" s="71"/>
      <c r="E619" s="73"/>
      <c r="N619" s="74"/>
      <c r="O619" s="74"/>
      <c r="P619" s="74"/>
      <c r="Q619" s="74"/>
      <c r="R619" s="73"/>
      <c r="S619" s="74"/>
      <c r="T619" s="73"/>
      <c r="U619" s="74"/>
    </row>
    <row r="620">
      <c r="D620" s="71"/>
      <c r="E620" s="73"/>
      <c r="N620" s="74"/>
      <c r="O620" s="74"/>
      <c r="P620" s="74"/>
      <c r="Q620" s="74"/>
      <c r="R620" s="73"/>
      <c r="S620" s="74"/>
      <c r="T620" s="73"/>
      <c r="U620" s="74"/>
    </row>
    <row r="621">
      <c r="D621" s="71"/>
      <c r="E621" s="73"/>
      <c r="N621" s="74"/>
      <c r="O621" s="74"/>
      <c r="P621" s="74"/>
      <c r="Q621" s="74"/>
      <c r="R621" s="73"/>
      <c r="S621" s="74"/>
      <c r="T621" s="73"/>
      <c r="U621" s="74"/>
    </row>
    <row r="622">
      <c r="D622" s="71"/>
      <c r="E622" s="73"/>
      <c r="N622" s="74"/>
      <c r="O622" s="74"/>
      <c r="P622" s="74"/>
      <c r="Q622" s="74"/>
      <c r="R622" s="73"/>
      <c r="S622" s="74"/>
      <c r="T622" s="73"/>
      <c r="U622" s="74"/>
    </row>
    <row r="623">
      <c r="D623" s="71"/>
      <c r="E623" s="73"/>
      <c r="N623" s="74"/>
      <c r="O623" s="74"/>
      <c r="P623" s="74"/>
      <c r="Q623" s="74"/>
      <c r="R623" s="73"/>
      <c r="S623" s="74"/>
      <c r="T623" s="73"/>
      <c r="U623" s="74"/>
    </row>
    <row r="624">
      <c r="D624" s="71"/>
      <c r="E624" s="73"/>
      <c r="N624" s="74"/>
      <c r="O624" s="74"/>
      <c r="P624" s="74"/>
      <c r="Q624" s="74"/>
      <c r="R624" s="73"/>
      <c r="S624" s="74"/>
      <c r="T624" s="73"/>
      <c r="U624" s="74"/>
    </row>
    <row r="625">
      <c r="D625" s="71"/>
      <c r="E625" s="73"/>
      <c r="N625" s="74"/>
      <c r="O625" s="74"/>
      <c r="P625" s="74"/>
      <c r="Q625" s="74"/>
      <c r="R625" s="73"/>
      <c r="S625" s="74"/>
      <c r="T625" s="73"/>
      <c r="U625" s="74"/>
    </row>
    <row r="626">
      <c r="D626" s="71"/>
      <c r="E626" s="73"/>
      <c r="N626" s="74"/>
      <c r="O626" s="74"/>
      <c r="P626" s="74"/>
      <c r="Q626" s="74"/>
      <c r="R626" s="73"/>
      <c r="S626" s="74"/>
      <c r="T626" s="73"/>
      <c r="U626" s="74"/>
    </row>
    <row r="627">
      <c r="D627" s="71"/>
      <c r="E627" s="73"/>
      <c r="N627" s="74"/>
      <c r="O627" s="74"/>
      <c r="P627" s="74"/>
      <c r="Q627" s="74"/>
      <c r="R627" s="73"/>
      <c r="S627" s="74"/>
      <c r="T627" s="73"/>
      <c r="U627" s="74"/>
    </row>
    <row r="628">
      <c r="D628" s="71"/>
      <c r="E628" s="73"/>
      <c r="N628" s="74"/>
      <c r="O628" s="74"/>
      <c r="P628" s="74"/>
      <c r="Q628" s="74"/>
      <c r="R628" s="73"/>
      <c r="S628" s="74"/>
      <c r="T628" s="73"/>
      <c r="U628" s="74"/>
    </row>
    <row r="629">
      <c r="D629" s="71"/>
      <c r="E629" s="73"/>
      <c r="N629" s="74"/>
      <c r="O629" s="74"/>
      <c r="P629" s="74"/>
      <c r="Q629" s="74"/>
      <c r="R629" s="73"/>
      <c r="S629" s="74"/>
      <c r="T629" s="73"/>
      <c r="U629" s="74"/>
    </row>
    <row r="630">
      <c r="D630" s="71"/>
      <c r="E630" s="73"/>
      <c r="N630" s="74"/>
      <c r="O630" s="74"/>
      <c r="P630" s="74"/>
      <c r="Q630" s="74"/>
      <c r="R630" s="73"/>
      <c r="S630" s="74"/>
      <c r="T630" s="73"/>
      <c r="U630" s="74"/>
    </row>
    <row r="631">
      <c r="D631" s="71"/>
      <c r="E631" s="73"/>
      <c r="N631" s="74"/>
      <c r="O631" s="74"/>
      <c r="P631" s="74"/>
      <c r="Q631" s="74"/>
      <c r="R631" s="73"/>
      <c r="S631" s="74"/>
      <c r="T631" s="73"/>
      <c r="U631" s="74"/>
    </row>
    <row r="632">
      <c r="D632" s="71"/>
      <c r="E632" s="73"/>
      <c r="N632" s="74"/>
      <c r="O632" s="74"/>
      <c r="P632" s="74"/>
      <c r="Q632" s="74"/>
      <c r="R632" s="73"/>
      <c r="S632" s="74"/>
      <c r="T632" s="73"/>
      <c r="U632" s="74"/>
    </row>
    <row r="633">
      <c r="D633" s="71"/>
      <c r="E633" s="73"/>
      <c r="N633" s="74"/>
      <c r="O633" s="74"/>
      <c r="P633" s="74"/>
      <c r="Q633" s="74"/>
      <c r="R633" s="73"/>
      <c r="S633" s="74"/>
      <c r="T633" s="73"/>
      <c r="U633" s="74"/>
    </row>
    <row r="634">
      <c r="D634" s="71"/>
      <c r="E634" s="73"/>
      <c r="N634" s="74"/>
      <c r="O634" s="74"/>
      <c r="P634" s="74"/>
      <c r="Q634" s="74"/>
      <c r="R634" s="73"/>
      <c r="S634" s="74"/>
      <c r="T634" s="73"/>
      <c r="U634" s="74"/>
    </row>
    <row r="635">
      <c r="D635" s="71"/>
      <c r="E635" s="73"/>
      <c r="N635" s="74"/>
      <c r="O635" s="74"/>
      <c r="P635" s="74"/>
      <c r="Q635" s="74"/>
      <c r="R635" s="73"/>
      <c r="S635" s="74"/>
      <c r="T635" s="73"/>
      <c r="U635" s="74"/>
    </row>
    <row r="636">
      <c r="D636" s="71"/>
      <c r="E636" s="73"/>
      <c r="N636" s="74"/>
      <c r="O636" s="74"/>
      <c r="P636" s="74"/>
      <c r="Q636" s="74"/>
      <c r="R636" s="73"/>
      <c r="S636" s="74"/>
      <c r="T636" s="73"/>
      <c r="U636" s="74"/>
    </row>
    <row r="637">
      <c r="D637" s="71"/>
      <c r="E637" s="73"/>
      <c r="N637" s="74"/>
      <c r="O637" s="74"/>
      <c r="P637" s="74"/>
      <c r="Q637" s="74"/>
      <c r="R637" s="73"/>
      <c r="S637" s="74"/>
      <c r="T637" s="73"/>
      <c r="U637" s="74"/>
    </row>
    <row r="638">
      <c r="D638" s="71"/>
      <c r="E638" s="73"/>
      <c r="N638" s="74"/>
      <c r="O638" s="74"/>
      <c r="P638" s="74"/>
      <c r="Q638" s="74"/>
      <c r="R638" s="73"/>
      <c r="S638" s="74"/>
      <c r="T638" s="73"/>
      <c r="U638" s="74"/>
    </row>
    <row r="639">
      <c r="D639" s="71"/>
      <c r="E639" s="73"/>
      <c r="N639" s="74"/>
      <c r="O639" s="74"/>
      <c r="P639" s="74"/>
      <c r="Q639" s="74"/>
      <c r="R639" s="73"/>
      <c r="S639" s="74"/>
      <c r="T639" s="73"/>
      <c r="U639" s="74"/>
    </row>
    <row r="640">
      <c r="D640" s="71"/>
      <c r="E640" s="73"/>
      <c r="N640" s="74"/>
      <c r="O640" s="74"/>
      <c r="P640" s="74"/>
      <c r="Q640" s="74"/>
      <c r="R640" s="73"/>
      <c r="S640" s="74"/>
      <c r="T640" s="73"/>
      <c r="U640" s="74"/>
    </row>
    <row r="641">
      <c r="D641" s="71"/>
      <c r="E641" s="73"/>
      <c r="N641" s="74"/>
      <c r="O641" s="74"/>
      <c r="P641" s="74"/>
      <c r="Q641" s="74"/>
      <c r="R641" s="73"/>
      <c r="S641" s="74"/>
      <c r="T641" s="73"/>
      <c r="U641" s="74"/>
    </row>
    <row r="642">
      <c r="D642" s="71"/>
      <c r="E642" s="73"/>
      <c r="N642" s="74"/>
      <c r="O642" s="74"/>
      <c r="P642" s="74"/>
      <c r="Q642" s="74"/>
      <c r="R642" s="73"/>
      <c r="S642" s="74"/>
      <c r="T642" s="73"/>
      <c r="U642" s="74"/>
    </row>
    <row r="643">
      <c r="D643" s="71"/>
      <c r="E643" s="73"/>
      <c r="N643" s="74"/>
      <c r="O643" s="74"/>
      <c r="P643" s="74"/>
      <c r="Q643" s="74"/>
      <c r="R643" s="73"/>
      <c r="S643" s="74"/>
      <c r="T643" s="73"/>
      <c r="U643" s="74"/>
    </row>
    <row r="644">
      <c r="D644" s="71"/>
      <c r="E644" s="73"/>
      <c r="N644" s="74"/>
      <c r="O644" s="74"/>
      <c r="P644" s="74"/>
      <c r="Q644" s="74"/>
      <c r="R644" s="73"/>
      <c r="S644" s="74"/>
      <c r="T644" s="73"/>
      <c r="U644" s="74"/>
    </row>
    <row r="645">
      <c r="D645" s="71"/>
      <c r="E645" s="73"/>
      <c r="N645" s="74"/>
      <c r="O645" s="74"/>
      <c r="P645" s="74"/>
      <c r="Q645" s="74"/>
      <c r="R645" s="73"/>
      <c r="S645" s="74"/>
      <c r="T645" s="73"/>
      <c r="U645" s="74"/>
    </row>
    <row r="646">
      <c r="D646" s="71"/>
      <c r="E646" s="73"/>
      <c r="N646" s="74"/>
      <c r="O646" s="74"/>
      <c r="P646" s="74"/>
      <c r="Q646" s="74"/>
      <c r="R646" s="73"/>
      <c r="S646" s="74"/>
      <c r="T646" s="73"/>
      <c r="U646" s="74"/>
    </row>
    <row r="647">
      <c r="D647" s="71"/>
      <c r="E647" s="73"/>
      <c r="N647" s="74"/>
      <c r="O647" s="74"/>
      <c r="P647" s="74"/>
      <c r="Q647" s="74"/>
      <c r="R647" s="73"/>
      <c r="S647" s="74"/>
      <c r="T647" s="73"/>
      <c r="U647" s="74"/>
    </row>
    <row r="648">
      <c r="D648" s="71"/>
      <c r="E648" s="73"/>
      <c r="N648" s="74"/>
      <c r="O648" s="74"/>
      <c r="P648" s="74"/>
      <c r="Q648" s="74"/>
      <c r="R648" s="73"/>
      <c r="S648" s="74"/>
      <c r="T648" s="73"/>
      <c r="U648" s="74"/>
    </row>
    <row r="649">
      <c r="D649" s="71"/>
      <c r="E649" s="73"/>
      <c r="N649" s="74"/>
      <c r="O649" s="74"/>
      <c r="P649" s="74"/>
      <c r="Q649" s="74"/>
      <c r="R649" s="73"/>
      <c r="S649" s="74"/>
      <c r="T649" s="73"/>
      <c r="U649" s="74"/>
    </row>
    <row r="650">
      <c r="D650" s="71"/>
      <c r="E650" s="73"/>
      <c r="N650" s="74"/>
      <c r="O650" s="74"/>
      <c r="P650" s="74"/>
      <c r="Q650" s="74"/>
      <c r="R650" s="73"/>
      <c r="S650" s="74"/>
      <c r="T650" s="73"/>
      <c r="U650" s="74"/>
    </row>
    <row r="651">
      <c r="D651" s="71"/>
      <c r="E651" s="73"/>
      <c r="N651" s="74"/>
      <c r="O651" s="74"/>
      <c r="P651" s="74"/>
      <c r="Q651" s="74"/>
      <c r="R651" s="73"/>
      <c r="S651" s="74"/>
      <c r="T651" s="73"/>
      <c r="U651" s="74"/>
    </row>
    <row r="652">
      <c r="D652" s="71"/>
      <c r="E652" s="73"/>
      <c r="N652" s="74"/>
      <c r="O652" s="74"/>
      <c r="P652" s="74"/>
      <c r="Q652" s="74"/>
      <c r="R652" s="73"/>
      <c r="S652" s="74"/>
      <c r="T652" s="73"/>
      <c r="U652" s="74"/>
    </row>
    <row r="653">
      <c r="D653" s="71"/>
      <c r="E653" s="73"/>
      <c r="N653" s="74"/>
      <c r="O653" s="74"/>
      <c r="P653" s="74"/>
      <c r="Q653" s="74"/>
      <c r="R653" s="73"/>
      <c r="S653" s="74"/>
      <c r="T653" s="73"/>
      <c r="U653" s="74"/>
    </row>
    <row r="654">
      <c r="D654" s="71"/>
      <c r="E654" s="73"/>
      <c r="N654" s="74"/>
      <c r="O654" s="74"/>
      <c r="P654" s="74"/>
      <c r="Q654" s="74"/>
      <c r="R654" s="73"/>
      <c r="S654" s="74"/>
      <c r="T654" s="73"/>
      <c r="U654" s="74"/>
    </row>
    <row r="655">
      <c r="D655" s="71"/>
      <c r="E655" s="73"/>
      <c r="N655" s="74"/>
      <c r="O655" s="74"/>
      <c r="P655" s="74"/>
      <c r="Q655" s="74"/>
      <c r="R655" s="73"/>
      <c r="S655" s="74"/>
      <c r="T655" s="73"/>
      <c r="U655" s="74"/>
    </row>
    <row r="656">
      <c r="D656" s="71"/>
      <c r="E656" s="73"/>
      <c r="N656" s="74"/>
      <c r="O656" s="74"/>
      <c r="P656" s="74"/>
      <c r="Q656" s="74"/>
      <c r="R656" s="73"/>
      <c r="S656" s="74"/>
      <c r="T656" s="73"/>
      <c r="U656" s="74"/>
    </row>
    <row r="657">
      <c r="D657" s="71"/>
      <c r="E657" s="73"/>
      <c r="N657" s="74"/>
      <c r="O657" s="74"/>
      <c r="P657" s="74"/>
      <c r="Q657" s="74"/>
      <c r="R657" s="73"/>
      <c r="S657" s="74"/>
      <c r="T657" s="73"/>
      <c r="U657" s="74"/>
    </row>
    <row r="658">
      <c r="D658" s="71"/>
      <c r="E658" s="73"/>
      <c r="N658" s="74"/>
      <c r="O658" s="74"/>
      <c r="P658" s="74"/>
      <c r="Q658" s="74"/>
      <c r="R658" s="73"/>
      <c r="S658" s="74"/>
      <c r="T658" s="73"/>
      <c r="U658" s="74"/>
    </row>
    <row r="659">
      <c r="D659" s="71"/>
      <c r="E659" s="73"/>
      <c r="N659" s="74"/>
      <c r="O659" s="74"/>
      <c r="P659" s="74"/>
      <c r="Q659" s="74"/>
      <c r="R659" s="73"/>
      <c r="S659" s="74"/>
      <c r="T659" s="73"/>
      <c r="U659" s="74"/>
    </row>
    <row r="660">
      <c r="D660" s="71"/>
      <c r="E660" s="73"/>
      <c r="N660" s="74"/>
      <c r="O660" s="74"/>
      <c r="P660" s="74"/>
      <c r="Q660" s="74"/>
      <c r="R660" s="73"/>
      <c r="S660" s="74"/>
      <c r="T660" s="73"/>
      <c r="U660" s="74"/>
    </row>
    <row r="661">
      <c r="D661" s="71"/>
      <c r="E661" s="73"/>
      <c r="N661" s="74"/>
      <c r="O661" s="74"/>
      <c r="P661" s="74"/>
      <c r="Q661" s="74"/>
      <c r="R661" s="73"/>
      <c r="S661" s="74"/>
      <c r="T661" s="73"/>
      <c r="U661" s="74"/>
    </row>
    <row r="662">
      <c r="D662" s="71"/>
      <c r="E662" s="73"/>
      <c r="N662" s="74"/>
      <c r="O662" s="74"/>
      <c r="P662" s="74"/>
      <c r="Q662" s="74"/>
      <c r="R662" s="73"/>
      <c r="S662" s="74"/>
      <c r="T662" s="73"/>
      <c r="U662" s="74"/>
    </row>
    <row r="663">
      <c r="D663" s="71"/>
      <c r="E663" s="73"/>
      <c r="N663" s="74"/>
      <c r="O663" s="74"/>
      <c r="P663" s="74"/>
      <c r="Q663" s="74"/>
      <c r="R663" s="73"/>
      <c r="S663" s="74"/>
      <c r="T663" s="73"/>
      <c r="U663" s="74"/>
    </row>
    <row r="664">
      <c r="D664" s="71"/>
      <c r="E664" s="73"/>
      <c r="N664" s="74"/>
      <c r="O664" s="74"/>
      <c r="P664" s="74"/>
      <c r="Q664" s="74"/>
      <c r="R664" s="73"/>
      <c r="S664" s="74"/>
      <c r="T664" s="73"/>
      <c r="U664" s="74"/>
    </row>
    <row r="665">
      <c r="D665" s="71"/>
      <c r="E665" s="73"/>
      <c r="N665" s="74"/>
      <c r="O665" s="74"/>
      <c r="P665" s="74"/>
      <c r="Q665" s="74"/>
      <c r="R665" s="73"/>
      <c r="S665" s="74"/>
      <c r="T665" s="73"/>
      <c r="U665" s="74"/>
    </row>
    <row r="666">
      <c r="D666" s="71"/>
      <c r="E666" s="73"/>
      <c r="N666" s="74"/>
      <c r="O666" s="74"/>
      <c r="P666" s="74"/>
      <c r="Q666" s="74"/>
      <c r="R666" s="73"/>
      <c r="S666" s="74"/>
      <c r="T666" s="73"/>
      <c r="U666" s="74"/>
    </row>
    <row r="667">
      <c r="D667" s="71"/>
      <c r="E667" s="73"/>
      <c r="N667" s="74"/>
      <c r="O667" s="74"/>
      <c r="P667" s="74"/>
      <c r="Q667" s="74"/>
      <c r="R667" s="73"/>
      <c r="S667" s="74"/>
      <c r="T667" s="73"/>
      <c r="U667" s="74"/>
    </row>
    <row r="668">
      <c r="D668" s="71"/>
      <c r="E668" s="73"/>
      <c r="N668" s="74"/>
      <c r="O668" s="74"/>
      <c r="P668" s="74"/>
      <c r="Q668" s="74"/>
      <c r="R668" s="73"/>
      <c r="S668" s="74"/>
      <c r="T668" s="73"/>
      <c r="U668" s="74"/>
    </row>
    <row r="669">
      <c r="D669" s="71"/>
      <c r="E669" s="73"/>
      <c r="N669" s="74"/>
      <c r="O669" s="74"/>
      <c r="P669" s="74"/>
      <c r="Q669" s="74"/>
      <c r="R669" s="73"/>
      <c r="S669" s="74"/>
      <c r="T669" s="73"/>
      <c r="U669" s="74"/>
    </row>
    <row r="670">
      <c r="D670" s="71"/>
      <c r="E670" s="73"/>
      <c r="N670" s="74"/>
      <c r="O670" s="74"/>
      <c r="P670" s="74"/>
      <c r="Q670" s="74"/>
      <c r="R670" s="73"/>
      <c r="S670" s="74"/>
      <c r="T670" s="73"/>
      <c r="U670" s="74"/>
    </row>
    <row r="671">
      <c r="D671" s="71"/>
      <c r="E671" s="73"/>
      <c r="N671" s="74"/>
      <c r="O671" s="74"/>
      <c r="P671" s="74"/>
      <c r="Q671" s="74"/>
      <c r="R671" s="73"/>
      <c r="S671" s="74"/>
      <c r="T671" s="73"/>
      <c r="U671" s="74"/>
    </row>
    <row r="672">
      <c r="D672" s="71"/>
      <c r="E672" s="73"/>
      <c r="N672" s="74"/>
      <c r="O672" s="74"/>
      <c r="P672" s="74"/>
      <c r="Q672" s="74"/>
      <c r="R672" s="73"/>
      <c r="S672" s="74"/>
      <c r="T672" s="73"/>
      <c r="U672" s="74"/>
    </row>
    <row r="673">
      <c r="D673" s="71"/>
      <c r="E673" s="73"/>
      <c r="N673" s="74"/>
      <c r="O673" s="74"/>
      <c r="P673" s="74"/>
      <c r="Q673" s="74"/>
      <c r="R673" s="73"/>
      <c r="S673" s="74"/>
      <c r="T673" s="73"/>
      <c r="U673" s="74"/>
    </row>
    <row r="674">
      <c r="D674" s="71"/>
      <c r="E674" s="73"/>
      <c r="N674" s="74"/>
      <c r="O674" s="74"/>
      <c r="P674" s="74"/>
      <c r="Q674" s="74"/>
      <c r="R674" s="73"/>
      <c r="S674" s="74"/>
      <c r="T674" s="73"/>
      <c r="U674" s="74"/>
    </row>
    <row r="675">
      <c r="D675" s="71"/>
      <c r="E675" s="73"/>
      <c r="N675" s="74"/>
      <c r="O675" s="74"/>
      <c r="P675" s="74"/>
      <c r="Q675" s="74"/>
      <c r="R675" s="73"/>
      <c r="S675" s="74"/>
      <c r="T675" s="73"/>
      <c r="U675" s="74"/>
    </row>
    <row r="676">
      <c r="D676" s="71"/>
      <c r="E676" s="73"/>
      <c r="N676" s="74"/>
      <c r="O676" s="74"/>
      <c r="P676" s="74"/>
      <c r="Q676" s="74"/>
      <c r="R676" s="73"/>
      <c r="S676" s="74"/>
      <c r="T676" s="73"/>
      <c r="U676" s="74"/>
    </row>
    <row r="677">
      <c r="D677" s="71"/>
      <c r="E677" s="73"/>
      <c r="N677" s="74"/>
      <c r="O677" s="74"/>
      <c r="P677" s="74"/>
      <c r="Q677" s="74"/>
      <c r="R677" s="73"/>
      <c r="S677" s="74"/>
      <c r="T677" s="73"/>
      <c r="U677" s="74"/>
    </row>
    <row r="678">
      <c r="D678" s="71"/>
      <c r="E678" s="73"/>
      <c r="N678" s="74"/>
      <c r="O678" s="74"/>
      <c r="P678" s="74"/>
      <c r="Q678" s="74"/>
      <c r="R678" s="73"/>
      <c r="S678" s="74"/>
      <c r="T678" s="73"/>
      <c r="U678" s="74"/>
    </row>
    <row r="679">
      <c r="D679" s="71"/>
      <c r="E679" s="73"/>
      <c r="N679" s="74"/>
      <c r="O679" s="74"/>
      <c r="P679" s="74"/>
      <c r="Q679" s="74"/>
      <c r="R679" s="73"/>
      <c r="S679" s="74"/>
      <c r="T679" s="73"/>
      <c r="U679" s="74"/>
    </row>
    <row r="680">
      <c r="D680" s="71"/>
      <c r="E680" s="73"/>
      <c r="N680" s="74"/>
      <c r="O680" s="74"/>
      <c r="P680" s="74"/>
      <c r="Q680" s="74"/>
      <c r="R680" s="73"/>
      <c r="S680" s="74"/>
      <c r="T680" s="73"/>
      <c r="U680" s="74"/>
    </row>
    <row r="681">
      <c r="D681" s="71"/>
      <c r="E681" s="73"/>
      <c r="N681" s="74"/>
      <c r="O681" s="74"/>
      <c r="P681" s="74"/>
      <c r="Q681" s="74"/>
      <c r="R681" s="73"/>
      <c r="S681" s="74"/>
      <c r="T681" s="73"/>
      <c r="U681" s="74"/>
    </row>
    <row r="682">
      <c r="D682" s="71"/>
      <c r="E682" s="73"/>
      <c r="N682" s="74"/>
      <c r="O682" s="74"/>
      <c r="P682" s="74"/>
      <c r="Q682" s="74"/>
      <c r="R682" s="73"/>
      <c r="S682" s="74"/>
      <c r="T682" s="73"/>
      <c r="U682" s="74"/>
    </row>
    <row r="683">
      <c r="D683" s="71"/>
      <c r="E683" s="73"/>
      <c r="N683" s="74"/>
      <c r="O683" s="74"/>
      <c r="P683" s="74"/>
      <c r="Q683" s="74"/>
      <c r="R683" s="73"/>
      <c r="S683" s="74"/>
      <c r="T683" s="73"/>
      <c r="U683" s="74"/>
    </row>
    <row r="684">
      <c r="D684" s="71"/>
      <c r="E684" s="73"/>
      <c r="N684" s="74"/>
      <c r="O684" s="74"/>
      <c r="P684" s="74"/>
      <c r="Q684" s="74"/>
      <c r="R684" s="73"/>
      <c r="S684" s="74"/>
      <c r="T684" s="73"/>
      <c r="U684" s="74"/>
    </row>
    <row r="685">
      <c r="D685" s="71"/>
      <c r="E685" s="73"/>
      <c r="N685" s="74"/>
      <c r="O685" s="74"/>
      <c r="P685" s="74"/>
      <c r="Q685" s="74"/>
      <c r="R685" s="73"/>
      <c r="S685" s="74"/>
      <c r="T685" s="73"/>
      <c r="U685" s="74"/>
    </row>
    <row r="686">
      <c r="D686" s="71"/>
      <c r="E686" s="73"/>
      <c r="N686" s="74"/>
      <c r="O686" s="74"/>
      <c r="P686" s="74"/>
      <c r="Q686" s="74"/>
      <c r="R686" s="73"/>
      <c r="S686" s="74"/>
      <c r="T686" s="73"/>
      <c r="U686" s="74"/>
    </row>
    <row r="687">
      <c r="D687" s="71"/>
      <c r="E687" s="73"/>
      <c r="N687" s="74"/>
      <c r="O687" s="74"/>
      <c r="P687" s="74"/>
      <c r="Q687" s="74"/>
      <c r="R687" s="73"/>
      <c r="S687" s="74"/>
      <c r="T687" s="73"/>
      <c r="U687" s="74"/>
    </row>
    <row r="688">
      <c r="D688" s="71"/>
      <c r="E688" s="73"/>
      <c r="N688" s="74"/>
      <c r="O688" s="74"/>
      <c r="P688" s="74"/>
      <c r="Q688" s="74"/>
      <c r="R688" s="73"/>
      <c r="S688" s="74"/>
      <c r="T688" s="73"/>
      <c r="U688" s="74"/>
    </row>
    <row r="689">
      <c r="D689" s="71"/>
      <c r="E689" s="73"/>
      <c r="N689" s="74"/>
      <c r="O689" s="74"/>
      <c r="P689" s="74"/>
      <c r="Q689" s="74"/>
      <c r="R689" s="73"/>
      <c r="S689" s="74"/>
      <c r="T689" s="73"/>
      <c r="U689" s="74"/>
    </row>
    <row r="690">
      <c r="D690" s="71"/>
      <c r="E690" s="73"/>
      <c r="N690" s="74"/>
      <c r="O690" s="74"/>
      <c r="P690" s="74"/>
      <c r="Q690" s="74"/>
      <c r="R690" s="73"/>
      <c r="S690" s="74"/>
      <c r="T690" s="73"/>
      <c r="U690" s="74"/>
    </row>
    <row r="691">
      <c r="D691" s="71"/>
      <c r="E691" s="73"/>
      <c r="N691" s="74"/>
      <c r="O691" s="74"/>
      <c r="P691" s="74"/>
      <c r="Q691" s="74"/>
      <c r="R691" s="73"/>
      <c r="S691" s="74"/>
      <c r="T691" s="73"/>
      <c r="U691" s="74"/>
    </row>
    <row r="692">
      <c r="D692" s="71"/>
      <c r="E692" s="73"/>
      <c r="N692" s="74"/>
      <c r="O692" s="74"/>
      <c r="P692" s="74"/>
      <c r="Q692" s="74"/>
      <c r="R692" s="73"/>
      <c r="S692" s="74"/>
      <c r="T692" s="73"/>
      <c r="U692" s="74"/>
    </row>
    <row r="693">
      <c r="D693" s="71"/>
      <c r="E693" s="73"/>
      <c r="N693" s="74"/>
      <c r="O693" s="74"/>
      <c r="P693" s="74"/>
      <c r="Q693" s="74"/>
      <c r="R693" s="73"/>
      <c r="S693" s="74"/>
      <c r="T693" s="73"/>
      <c r="U693" s="74"/>
    </row>
    <row r="694">
      <c r="D694" s="71"/>
      <c r="E694" s="73"/>
      <c r="N694" s="74"/>
      <c r="O694" s="74"/>
      <c r="P694" s="74"/>
      <c r="Q694" s="74"/>
      <c r="R694" s="73"/>
      <c r="S694" s="74"/>
      <c r="T694" s="73"/>
      <c r="U694" s="74"/>
    </row>
    <row r="695">
      <c r="D695" s="71"/>
      <c r="E695" s="73"/>
      <c r="N695" s="74"/>
      <c r="O695" s="74"/>
      <c r="P695" s="74"/>
      <c r="Q695" s="74"/>
      <c r="R695" s="73"/>
      <c r="S695" s="74"/>
      <c r="T695" s="73"/>
      <c r="U695" s="74"/>
    </row>
    <row r="696">
      <c r="D696" s="71"/>
      <c r="E696" s="73"/>
      <c r="N696" s="74"/>
      <c r="O696" s="74"/>
      <c r="P696" s="74"/>
      <c r="Q696" s="74"/>
      <c r="R696" s="73"/>
      <c r="S696" s="74"/>
      <c r="T696" s="73"/>
      <c r="U696" s="74"/>
    </row>
    <row r="697">
      <c r="D697" s="71"/>
      <c r="E697" s="73"/>
      <c r="N697" s="74"/>
      <c r="O697" s="74"/>
      <c r="P697" s="74"/>
      <c r="Q697" s="74"/>
      <c r="R697" s="73"/>
      <c r="S697" s="74"/>
      <c r="T697" s="73"/>
      <c r="U697" s="74"/>
    </row>
    <row r="698">
      <c r="D698" s="71"/>
      <c r="E698" s="73"/>
      <c r="N698" s="74"/>
      <c r="O698" s="74"/>
      <c r="P698" s="74"/>
      <c r="Q698" s="74"/>
      <c r="R698" s="73"/>
      <c r="S698" s="74"/>
      <c r="T698" s="73"/>
      <c r="U698" s="74"/>
    </row>
    <row r="699">
      <c r="D699" s="71"/>
      <c r="E699" s="73"/>
      <c r="N699" s="74"/>
      <c r="O699" s="74"/>
      <c r="P699" s="74"/>
      <c r="Q699" s="74"/>
      <c r="R699" s="73"/>
      <c r="S699" s="74"/>
      <c r="T699" s="73"/>
      <c r="U699" s="74"/>
    </row>
    <row r="700">
      <c r="D700" s="71"/>
      <c r="E700" s="73"/>
      <c r="N700" s="74"/>
      <c r="O700" s="74"/>
      <c r="P700" s="74"/>
      <c r="Q700" s="74"/>
      <c r="R700" s="73"/>
      <c r="S700" s="74"/>
      <c r="T700" s="73"/>
      <c r="U700" s="74"/>
    </row>
    <row r="701">
      <c r="D701" s="71"/>
      <c r="E701" s="73"/>
      <c r="N701" s="74"/>
      <c r="O701" s="74"/>
      <c r="P701" s="74"/>
      <c r="Q701" s="74"/>
      <c r="R701" s="73"/>
      <c r="S701" s="74"/>
      <c r="T701" s="73"/>
      <c r="U701" s="74"/>
    </row>
    <row r="702">
      <c r="D702" s="71"/>
      <c r="E702" s="73"/>
      <c r="N702" s="74"/>
      <c r="O702" s="74"/>
      <c r="P702" s="74"/>
      <c r="Q702" s="74"/>
      <c r="R702" s="73"/>
      <c r="S702" s="74"/>
      <c r="T702" s="73"/>
      <c r="U702" s="74"/>
    </row>
    <row r="703">
      <c r="D703" s="71"/>
      <c r="E703" s="73"/>
      <c r="N703" s="74"/>
      <c r="O703" s="74"/>
      <c r="P703" s="74"/>
      <c r="Q703" s="74"/>
      <c r="R703" s="73"/>
      <c r="S703" s="74"/>
      <c r="T703" s="73"/>
      <c r="U703" s="74"/>
    </row>
    <row r="704">
      <c r="D704" s="71"/>
      <c r="E704" s="73"/>
      <c r="N704" s="74"/>
      <c r="O704" s="74"/>
      <c r="P704" s="74"/>
      <c r="Q704" s="74"/>
      <c r="R704" s="73"/>
      <c r="S704" s="74"/>
      <c r="T704" s="73"/>
      <c r="U704" s="74"/>
    </row>
    <row r="705">
      <c r="D705" s="71"/>
      <c r="E705" s="73"/>
      <c r="N705" s="74"/>
      <c r="O705" s="74"/>
      <c r="P705" s="74"/>
      <c r="Q705" s="74"/>
      <c r="R705" s="73"/>
      <c r="S705" s="74"/>
      <c r="T705" s="73"/>
      <c r="U705" s="74"/>
    </row>
    <row r="706">
      <c r="D706" s="71"/>
      <c r="E706" s="73"/>
      <c r="N706" s="74"/>
      <c r="O706" s="74"/>
      <c r="P706" s="74"/>
      <c r="Q706" s="74"/>
      <c r="R706" s="73"/>
      <c r="S706" s="74"/>
      <c r="T706" s="73"/>
      <c r="U706" s="74"/>
    </row>
    <row r="707">
      <c r="D707" s="71"/>
      <c r="E707" s="73"/>
      <c r="N707" s="74"/>
      <c r="O707" s="74"/>
      <c r="P707" s="74"/>
      <c r="Q707" s="74"/>
      <c r="R707" s="73"/>
      <c r="S707" s="74"/>
      <c r="T707" s="73"/>
      <c r="U707" s="74"/>
    </row>
    <row r="708">
      <c r="D708" s="71"/>
      <c r="E708" s="73"/>
      <c r="N708" s="74"/>
      <c r="O708" s="74"/>
      <c r="P708" s="74"/>
      <c r="Q708" s="74"/>
      <c r="R708" s="73"/>
      <c r="S708" s="74"/>
      <c r="T708" s="73"/>
      <c r="U708" s="74"/>
    </row>
    <row r="709">
      <c r="D709" s="71"/>
      <c r="E709" s="73"/>
      <c r="N709" s="74"/>
      <c r="O709" s="74"/>
      <c r="P709" s="74"/>
      <c r="Q709" s="74"/>
      <c r="R709" s="73"/>
      <c r="S709" s="74"/>
      <c r="T709" s="73"/>
      <c r="U709" s="74"/>
    </row>
    <row r="710">
      <c r="D710" s="71"/>
      <c r="E710" s="73"/>
      <c r="N710" s="74"/>
      <c r="O710" s="74"/>
      <c r="P710" s="74"/>
      <c r="Q710" s="74"/>
      <c r="R710" s="73"/>
      <c r="S710" s="74"/>
      <c r="T710" s="73"/>
      <c r="U710" s="74"/>
    </row>
    <row r="711">
      <c r="D711" s="71"/>
      <c r="E711" s="73"/>
      <c r="N711" s="74"/>
      <c r="O711" s="74"/>
      <c r="P711" s="74"/>
      <c r="Q711" s="74"/>
      <c r="R711" s="73"/>
      <c r="S711" s="74"/>
      <c r="T711" s="73"/>
      <c r="U711" s="74"/>
    </row>
    <row r="712">
      <c r="D712" s="71"/>
      <c r="E712" s="73"/>
      <c r="N712" s="74"/>
      <c r="O712" s="74"/>
      <c r="P712" s="74"/>
      <c r="Q712" s="74"/>
      <c r="R712" s="73"/>
      <c r="S712" s="74"/>
      <c r="T712" s="73"/>
      <c r="U712" s="74"/>
    </row>
    <row r="713">
      <c r="D713" s="71"/>
      <c r="E713" s="73"/>
      <c r="N713" s="74"/>
      <c r="O713" s="74"/>
      <c r="P713" s="74"/>
      <c r="Q713" s="74"/>
      <c r="R713" s="73"/>
      <c r="S713" s="74"/>
      <c r="T713" s="73"/>
      <c r="U713" s="74"/>
    </row>
    <row r="714">
      <c r="D714" s="71"/>
      <c r="E714" s="73"/>
      <c r="N714" s="74"/>
      <c r="O714" s="74"/>
      <c r="P714" s="74"/>
      <c r="Q714" s="74"/>
      <c r="R714" s="73"/>
      <c r="S714" s="74"/>
      <c r="T714" s="73"/>
      <c r="U714" s="74"/>
    </row>
    <row r="715">
      <c r="D715" s="71"/>
      <c r="E715" s="73"/>
      <c r="N715" s="74"/>
      <c r="O715" s="74"/>
      <c r="P715" s="74"/>
      <c r="Q715" s="74"/>
      <c r="R715" s="73"/>
      <c r="S715" s="74"/>
      <c r="T715" s="73"/>
      <c r="U715" s="74"/>
    </row>
    <row r="716">
      <c r="D716" s="71"/>
      <c r="E716" s="73"/>
      <c r="N716" s="74"/>
      <c r="O716" s="74"/>
      <c r="P716" s="74"/>
      <c r="Q716" s="74"/>
      <c r="R716" s="73"/>
      <c r="S716" s="74"/>
      <c r="T716" s="73"/>
      <c r="U716" s="74"/>
    </row>
    <row r="717">
      <c r="D717" s="71"/>
      <c r="E717" s="73"/>
      <c r="N717" s="74"/>
      <c r="O717" s="74"/>
      <c r="P717" s="74"/>
      <c r="Q717" s="74"/>
      <c r="R717" s="73"/>
      <c r="S717" s="74"/>
      <c r="T717" s="73"/>
      <c r="U717" s="74"/>
    </row>
    <row r="718">
      <c r="D718" s="71"/>
      <c r="E718" s="73"/>
      <c r="N718" s="74"/>
      <c r="O718" s="74"/>
      <c r="P718" s="74"/>
      <c r="Q718" s="74"/>
      <c r="R718" s="73"/>
      <c r="S718" s="74"/>
      <c r="T718" s="73"/>
      <c r="U718" s="74"/>
    </row>
    <row r="719">
      <c r="D719" s="71"/>
      <c r="E719" s="73"/>
      <c r="N719" s="74"/>
      <c r="O719" s="74"/>
      <c r="P719" s="74"/>
      <c r="Q719" s="74"/>
      <c r="R719" s="73"/>
      <c r="S719" s="74"/>
      <c r="T719" s="73"/>
      <c r="U719" s="74"/>
    </row>
    <row r="720">
      <c r="D720" s="71"/>
      <c r="E720" s="73"/>
      <c r="N720" s="74"/>
      <c r="O720" s="74"/>
      <c r="P720" s="74"/>
      <c r="Q720" s="74"/>
      <c r="R720" s="73"/>
      <c r="S720" s="74"/>
      <c r="T720" s="73"/>
      <c r="U720" s="74"/>
    </row>
    <row r="721">
      <c r="D721" s="71"/>
      <c r="E721" s="73"/>
      <c r="N721" s="74"/>
      <c r="O721" s="74"/>
      <c r="P721" s="74"/>
      <c r="Q721" s="74"/>
      <c r="R721" s="73"/>
      <c r="S721" s="74"/>
      <c r="T721" s="73"/>
      <c r="U721" s="74"/>
    </row>
    <row r="722">
      <c r="D722" s="71"/>
      <c r="E722" s="73"/>
      <c r="N722" s="74"/>
      <c r="O722" s="74"/>
      <c r="P722" s="74"/>
      <c r="Q722" s="74"/>
      <c r="R722" s="73"/>
      <c r="S722" s="74"/>
      <c r="T722" s="73"/>
      <c r="U722" s="74"/>
    </row>
    <row r="723">
      <c r="D723" s="71"/>
      <c r="E723" s="73"/>
      <c r="N723" s="74"/>
      <c r="O723" s="74"/>
      <c r="P723" s="74"/>
      <c r="Q723" s="74"/>
      <c r="R723" s="73"/>
      <c r="S723" s="74"/>
      <c r="T723" s="73"/>
      <c r="U723" s="74"/>
    </row>
    <row r="724">
      <c r="D724" s="71"/>
      <c r="E724" s="73"/>
      <c r="N724" s="74"/>
      <c r="O724" s="74"/>
      <c r="P724" s="74"/>
      <c r="Q724" s="74"/>
      <c r="R724" s="73"/>
      <c r="S724" s="74"/>
      <c r="T724" s="73"/>
      <c r="U724" s="74"/>
    </row>
    <row r="725">
      <c r="D725" s="71"/>
      <c r="E725" s="73"/>
      <c r="N725" s="74"/>
      <c r="O725" s="74"/>
      <c r="P725" s="74"/>
      <c r="Q725" s="74"/>
      <c r="R725" s="73"/>
      <c r="S725" s="74"/>
      <c r="T725" s="73"/>
      <c r="U725" s="74"/>
    </row>
    <row r="726">
      <c r="D726" s="71"/>
      <c r="E726" s="73"/>
      <c r="N726" s="74"/>
      <c r="O726" s="74"/>
      <c r="P726" s="74"/>
      <c r="Q726" s="74"/>
      <c r="R726" s="73"/>
      <c r="S726" s="74"/>
      <c r="T726" s="73"/>
      <c r="U726" s="74"/>
    </row>
    <row r="727">
      <c r="D727" s="71"/>
      <c r="E727" s="73"/>
      <c r="N727" s="74"/>
      <c r="O727" s="74"/>
      <c r="P727" s="74"/>
      <c r="Q727" s="74"/>
      <c r="R727" s="73"/>
      <c r="S727" s="74"/>
      <c r="T727" s="73"/>
      <c r="U727" s="74"/>
    </row>
    <row r="728">
      <c r="D728" s="71"/>
      <c r="E728" s="73"/>
      <c r="N728" s="74"/>
      <c r="O728" s="74"/>
      <c r="P728" s="74"/>
      <c r="Q728" s="74"/>
      <c r="R728" s="73"/>
      <c r="S728" s="74"/>
      <c r="T728" s="73"/>
      <c r="U728" s="74"/>
    </row>
    <row r="729">
      <c r="D729" s="71"/>
      <c r="E729" s="73"/>
      <c r="N729" s="74"/>
      <c r="O729" s="74"/>
      <c r="P729" s="74"/>
      <c r="Q729" s="74"/>
      <c r="R729" s="73"/>
      <c r="S729" s="74"/>
      <c r="T729" s="73"/>
      <c r="U729" s="74"/>
    </row>
    <row r="730">
      <c r="D730" s="71"/>
      <c r="E730" s="73"/>
      <c r="N730" s="74"/>
      <c r="O730" s="74"/>
      <c r="P730" s="74"/>
      <c r="Q730" s="74"/>
      <c r="R730" s="73"/>
      <c r="S730" s="74"/>
      <c r="T730" s="73"/>
      <c r="U730" s="74"/>
    </row>
    <row r="731">
      <c r="D731" s="71"/>
      <c r="E731" s="73"/>
      <c r="N731" s="74"/>
      <c r="O731" s="74"/>
      <c r="P731" s="74"/>
      <c r="Q731" s="74"/>
      <c r="R731" s="73"/>
      <c r="S731" s="74"/>
      <c r="T731" s="73"/>
      <c r="U731" s="74"/>
    </row>
    <row r="732">
      <c r="D732" s="71"/>
      <c r="E732" s="73"/>
      <c r="N732" s="74"/>
      <c r="O732" s="74"/>
      <c r="P732" s="74"/>
      <c r="Q732" s="74"/>
      <c r="R732" s="73"/>
      <c r="S732" s="74"/>
      <c r="T732" s="73"/>
      <c r="U732" s="74"/>
    </row>
    <row r="733">
      <c r="D733" s="71"/>
      <c r="E733" s="73"/>
      <c r="N733" s="74"/>
      <c r="O733" s="74"/>
      <c r="P733" s="74"/>
      <c r="Q733" s="74"/>
      <c r="R733" s="73"/>
      <c r="S733" s="74"/>
      <c r="T733" s="73"/>
      <c r="U733" s="74"/>
    </row>
    <row r="734">
      <c r="D734" s="71"/>
      <c r="E734" s="73"/>
      <c r="N734" s="74"/>
      <c r="O734" s="74"/>
      <c r="P734" s="74"/>
      <c r="Q734" s="74"/>
      <c r="R734" s="73"/>
      <c r="S734" s="74"/>
      <c r="T734" s="73"/>
      <c r="U734" s="74"/>
    </row>
    <row r="735">
      <c r="D735" s="71"/>
      <c r="E735" s="73"/>
      <c r="N735" s="74"/>
      <c r="O735" s="74"/>
      <c r="P735" s="74"/>
      <c r="Q735" s="74"/>
      <c r="R735" s="73"/>
      <c r="S735" s="74"/>
      <c r="T735" s="73"/>
      <c r="U735" s="74"/>
    </row>
    <row r="736">
      <c r="D736" s="71"/>
      <c r="E736" s="73"/>
      <c r="N736" s="74"/>
      <c r="O736" s="74"/>
      <c r="P736" s="74"/>
      <c r="Q736" s="74"/>
      <c r="R736" s="73"/>
      <c r="S736" s="74"/>
      <c r="T736" s="73"/>
      <c r="U736" s="74"/>
    </row>
    <row r="737">
      <c r="D737" s="71"/>
      <c r="E737" s="73"/>
      <c r="N737" s="74"/>
      <c r="O737" s="74"/>
      <c r="P737" s="74"/>
      <c r="Q737" s="74"/>
      <c r="R737" s="73"/>
      <c r="S737" s="74"/>
      <c r="T737" s="73"/>
      <c r="U737" s="74"/>
    </row>
    <row r="738">
      <c r="D738" s="71"/>
      <c r="E738" s="73"/>
      <c r="N738" s="74"/>
      <c r="O738" s="74"/>
      <c r="P738" s="74"/>
      <c r="Q738" s="74"/>
      <c r="R738" s="73"/>
      <c r="S738" s="74"/>
      <c r="T738" s="73"/>
      <c r="U738" s="74"/>
    </row>
    <row r="739">
      <c r="D739" s="71"/>
      <c r="E739" s="73"/>
      <c r="N739" s="74"/>
      <c r="O739" s="74"/>
      <c r="P739" s="74"/>
      <c r="Q739" s="74"/>
      <c r="R739" s="73"/>
      <c r="S739" s="74"/>
      <c r="T739" s="73"/>
      <c r="U739" s="74"/>
    </row>
    <row r="740">
      <c r="D740" s="71"/>
      <c r="E740" s="73"/>
      <c r="N740" s="74"/>
      <c r="O740" s="74"/>
      <c r="P740" s="74"/>
      <c r="Q740" s="74"/>
      <c r="R740" s="73"/>
      <c r="S740" s="74"/>
      <c r="T740" s="73"/>
      <c r="U740" s="74"/>
    </row>
    <row r="741">
      <c r="D741" s="71"/>
      <c r="E741" s="73"/>
      <c r="N741" s="74"/>
      <c r="O741" s="74"/>
      <c r="P741" s="74"/>
      <c r="Q741" s="74"/>
      <c r="R741" s="73"/>
      <c r="S741" s="74"/>
      <c r="T741" s="73"/>
      <c r="U741" s="74"/>
    </row>
    <row r="742">
      <c r="D742" s="71"/>
      <c r="E742" s="73"/>
      <c r="N742" s="74"/>
      <c r="O742" s="74"/>
      <c r="P742" s="74"/>
      <c r="Q742" s="74"/>
      <c r="R742" s="73"/>
      <c r="S742" s="74"/>
      <c r="T742" s="73"/>
      <c r="U742" s="74"/>
    </row>
    <row r="743">
      <c r="D743" s="71"/>
      <c r="E743" s="73"/>
      <c r="N743" s="74"/>
      <c r="O743" s="74"/>
      <c r="P743" s="74"/>
      <c r="Q743" s="74"/>
      <c r="R743" s="73"/>
      <c r="S743" s="74"/>
      <c r="T743" s="73"/>
      <c r="U743" s="74"/>
    </row>
    <row r="744">
      <c r="D744" s="71"/>
      <c r="E744" s="73"/>
      <c r="N744" s="74"/>
      <c r="O744" s="74"/>
      <c r="P744" s="74"/>
      <c r="Q744" s="74"/>
      <c r="R744" s="73"/>
      <c r="S744" s="74"/>
      <c r="T744" s="73"/>
      <c r="U744" s="74"/>
    </row>
    <row r="745">
      <c r="D745" s="71"/>
      <c r="E745" s="73"/>
      <c r="N745" s="74"/>
      <c r="O745" s="74"/>
      <c r="P745" s="74"/>
      <c r="Q745" s="74"/>
      <c r="R745" s="73"/>
      <c r="S745" s="74"/>
      <c r="T745" s="73"/>
      <c r="U745" s="74"/>
    </row>
    <row r="746">
      <c r="D746" s="71"/>
      <c r="E746" s="73"/>
      <c r="N746" s="74"/>
      <c r="O746" s="74"/>
      <c r="P746" s="74"/>
      <c r="Q746" s="74"/>
      <c r="R746" s="73"/>
      <c r="S746" s="74"/>
      <c r="T746" s="73"/>
      <c r="U746" s="74"/>
    </row>
    <row r="747">
      <c r="D747" s="71"/>
      <c r="E747" s="73"/>
      <c r="N747" s="74"/>
      <c r="O747" s="74"/>
      <c r="P747" s="74"/>
      <c r="Q747" s="74"/>
      <c r="R747" s="73"/>
      <c r="S747" s="74"/>
      <c r="T747" s="73"/>
      <c r="U747" s="74"/>
    </row>
    <row r="748">
      <c r="D748" s="71"/>
      <c r="E748" s="73"/>
      <c r="N748" s="74"/>
      <c r="O748" s="74"/>
      <c r="P748" s="74"/>
      <c r="Q748" s="74"/>
      <c r="R748" s="73"/>
      <c r="S748" s="74"/>
      <c r="T748" s="73"/>
      <c r="U748" s="74"/>
    </row>
    <row r="749">
      <c r="D749" s="71"/>
      <c r="E749" s="73"/>
      <c r="N749" s="74"/>
      <c r="O749" s="74"/>
      <c r="P749" s="74"/>
      <c r="Q749" s="74"/>
      <c r="R749" s="73"/>
      <c r="S749" s="74"/>
      <c r="T749" s="73"/>
      <c r="U749" s="74"/>
    </row>
    <row r="750">
      <c r="D750" s="71"/>
      <c r="E750" s="73"/>
      <c r="N750" s="74"/>
      <c r="O750" s="74"/>
      <c r="P750" s="74"/>
      <c r="Q750" s="74"/>
      <c r="R750" s="73"/>
      <c r="S750" s="74"/>
      <c r="T750" s="73"/>
      <c r="U750" s="74"/>
    </row>
    <row r="751">
      <c r="D751" s="71"/>
      <c r="E751" s="73"/>
      <c r="N751" s="74"/>
      <c r="O751" s="74"/>
      <c r="P751" s="74"/>
      <c r="Q751" s="74"/>
      <c r="R751" s="73"/>
      <c r="S751" s="74"/>
      <c r="T751" s="73"/>
      <c r="U751" s="74"/>
    </row>
    <row r="752">
      <c r="D752" s="71"/>
      <c r="E752" s="73"/>
      <c r="N752" s="74"/>
      <c r="O752" s="74"/>
      <c r="P752" s="74"/>
      <c r="Q752" s="74"/>
      <c r="R752" s="73"/>
      <c r="S752" s="74"/>
      <c r="T752" s="73"/>
      <c r="U752" s="74"/>
    </row>
    <row r="753">
      <c r="D753" s="71"/>
      <c r="E753" s="73"/>
      <c r="N753" s="74"/>
      <c r="O753" s="74"/>
      <c r="P753" s="74"/>
      <c r="Q753" s="74"/>
      <c r="R753" s="73"/>
      <c r="S753" s="74"/>
      <c r="T753" s="73"/>
      <c r="U753" s="74"/>
    </row>
    <row r="754">
      <c r="D754" s="71"/>
      <c r="E754" s="73"/>
      <c r="N754" s="74"/>
      <c r="O754" s="74"/>
      <c r="P754" s="74"/>
      <c r="Q754" s="74"/>
      <c r="R754" s="73"/>
      <c r="S754" s="74"/>
      <c r="T754" s="73"/>
      <c r="U754" s="74"/>
    </row>
    <row r="755">
      <c r="D755" s="71"/>
      <c r="E755" s="73"/>
      <c r="N755" s="74"/>
      <c r="O755" s="74"/>
      <c r="P755" s="74"/>
      <c r="Q755" s="74"/>
      <c r="R755" s="73"/>
      <c r="S755" s="74"/>
      <c r="T755" s="73"/>
      <c r="U755" s="74"/>
    </row>
    <row r="756">
      <c r="D756" s="71"/>
      <c r="E756" s="73"/>
      <c r="N756" s="74"/>
      <c r="O756" s="74"/>
      <c r="P756" s="74"/>
      <c r="Q756" s="74"/>
      <c r="R756" s="73"/>
      <c r="S756" s="74"/>
      <c r="T756" s="73"/>
      <c r="U756" s="74"/>
    </row>
    <row r="757">
      <c r="D757" s="71"/>
      <c r="E757" s="73"/>
      <c r="N757" s="74"/>
      <c r="O757" s="74"/>
      <c r="P757" s="74"/>
      <c r="Q757" s="74"/>
      <c r="R757" s="73"/>
      <c r="S757" s="74"/>
      <c r="T757" s="73"/>
      <c r="U757" s="74"/>
    </row>
    <row r="758">
      <c r="D758" s="71"/>
      <c r="E758" s="73"/>
      <c r="N758" s="74"/>
      <c r="O758" s="74"/>
      <c r="P758" s="74"/>
      <c r="Q758" s="74"/>
      <c r="R758" s="73"/>
      <c r="S758" s="74"/>
      <c r="T758" s="73"/>
      <c r="U758" s="74"/>
    </row>
    <row r="759">
      <c r="D759" s="71"/>
      <c r="E759" s="73"/>
      <c r="N759" s="74"/>
      <c r="O759" s="74"/>
      <c r="P759" s="74"/>
      <c r="Q759" s="74"/>
      <c r="R759" s="73"/>
      <c r="S759" s="74"/>
      <c r="T759" s="73"/>
      <c r="U759" s="74"/>
    </row>
    <row r="760">
      <c r="D760" s="71"/>
      <c r="E760" s="73"/>
      <c r="N760" s="74"/>
      <c r="O760" s="74"/>
      <c r="P760" s="74"/>
      <c r="Q760" s="74"/>
      <c r="R760" s="73"/>
      <c r="S760" s="74"/>
      <c r="T760" s="73"/>
      <c r="U760" s="74"/>
    </row>
    <row r="761">
      <c r="D761" s="71"/>
      <c r="E761" s="73"/>
      <c r="N761" s="74"/>
      <c r="O761" s="74"/>
      <c r="P761" s="74"/>
      <c r="Q761" s="74"/>
      <c r="R761" s="73"/>
      <c r="S761" s="74"/>
      <c r="T761" s="73"/>
      <c r="U761" s="74"/>
    </row>
    <row r="762">
      <c r="D762" s="71"/>
      <c r="E762" s="73"/>
      <c r="N762" s="74"/>
      <c r="O762" s="74"/>
      <c r="P762" s="74"/>
      <c r="Q762" s="74"/>
      <c r="R762" s="73"/>
      <c r="S762" s="74"/>
      <c r="T762" s="73"/>
      <c r="U762" s="74"/>
    </row>
    <row r="763">
      <c r="D763" s="71"/>
      <c r="E763" s="73"/>
      <c r="N763" s="74"/>
      <c r="O763" s="74"/>
      <c r="P763" s="74"/>
      <c r="Q763" s="74"/>
      <c r="R763" s="73"/>
      <c r="S763" s="74"/>
      <c r="T763" s="73"/>
      <c r="U763" s="74"/>
    </row>
    <row r="764">
      <c r="D764" s="71"/>
      <c r="E764" s="73"/>
      <c r="N764" s="74"/>
      <c r="O764" s="74"/>
      <c r="P764" s="74"/>
      <c r="Q764" s="74"/>
      <c r="R764" s="73"/>
      <c r="S764" s="74"/>
      <c r="T764" s="73"/>
      <c r="U764" s="74"/>
    </row>
    <row r="765">
      <c r="D765" s="71"/>
      <c r="E765" s="73"/>
      <c r="N765" s="74"/>
      <c r="O765" s="74"/>
      <c r="P765" s="74"/>
      <c r="Q765" s="74"/>
      <c r="R765" s="73"/>
      <c r="S765" s="74"/>
      <c r="T765" s="73"/>
      <c r="U765" s="74"/>
    </row>
    <row r="766">
      <c r="D766" s="71"/>
      <c r="E766" s="73"/>
      <c r="N766" s="74"/>
      <c r="O766" s="74"/>
      <c r="P766" s="74"/>
      <c r="Q766" s="74"/>
      <c r="R766" s="73"/>
      <c r="S766" s="74"/>
      <c r="T766" s="73"/>
      <c r="U766" s="74"/>
    </row>
    <row r="767">
      <c r="D767" s="71"/>
      <c r="E767" s="73"/>
      <c r="N767" s="74"/>
      <c r="O767" s="74"/>
      <c r="P767" s="74"/>
      <c r="Q767" s="74"/>
      <c r="R767" s="73"/>
      <c r="S767" s="74"/>
      <c r="T767" s="73"/>
      <c r="U767" s="74"/>
    </row>
    <row r="768">
      <c r="D768" s="71"/>
      <c r="E768" s="73"/>
      <c r="N768" s="74"/>
      <c r="O768" s="74"/>
      <c r="P768" s="74"/>
      <c r="Q768" s="74"/>
      <c r="R768" s="73"/>
      <c r="S768" s="74"/>
      <c r="T768" s="73"/>
      <c r="U768" s="74"/>
    </row>
    <row r="769">
      <c r="D769" s="71"/>
      <c r="E769" s="73"/>
      <c r="N769" s="74"/>
      <c r="O769" s="74"/>
      <c r="P769" s="74"/>
      <c r="Q769" s="74"/>
      <c r="R769" s="73"/>
      <c r="S769" s="74"/>
      <c r="T769" s="73"/>
      <c r="U769" s="74"/>
    </row>
    <row r="770">
      <c r="D770" s="71"/>
      <c r="E770" s="73"/>
      <c r="N770" s="74"/>
      <c r="O770" s="74"/>
      <c r="P770" s="74"/>
      <c r="Q770" s="74"/>
      <c r="R770" s="73"/>
      <c r="S770" s="74"/>
      <c r="T770" s="73"/>
      <c r="U770" s="74"/>
    </row>
    <row r="771">
      <c r="D771" s="71"/>
      <c r="E771" s="73"/>
      <c r="N771" s="74"/>
      <c r="O771" s="74"/>
      <c r="P771" s="74"/>
      <c r="Q771" s="74"/>
      <c r="R771" s="73"/>
      <c r="S771" s="74"/>
      <c r="T771" s="73"/>
      <c r="U771" s="74"/>
    </row>
    <row r="772">
      <c r="D772" s="71"/>
      <c r="E772" s="73"/>
      <c r="N772" s="74"/>
      <c r="O772" s="74"/>
      <c r="P772" s="74"/>
      <c r="Q772" s="74"/>
      <c r="R772" s="73"/>
      <c r="S772" s="74"/>
      <c r="T772" s="73"/>
      <c r="U772" s="74"/>
    </row>
    <row r="773">
      <c r="D773" s="71"/>
      <c r="E773" s="73"/>
      <c r="N773" s="74"/>
      <c r="O773" s="74"/>
      <c r="P773" s="74"/>
      <c r="Q773" s="74"/>
      <c r="R773" s="73"/>
      <c r="S773" s="74"/>
      <c r="T773" s="73"/>
      <c r="U773" s="74"/>
    </row>
    <row r="774">
      <c r="D774" s="71"/>
      <c r="E774" s="73"/>
      <c r="N774" s="74"/>
      <c r="O774" s="74"/>
      <c r="P774" s="74"/>
      <c r="Q774" s="74"/>
      <c r="R774" s="73"/>
      <c r="S774" s="74"/>
      <c r="T774" s="73"/>
      <c r="U774" s="74"/>
    </row>
    <row r="775">
      <c r="D775" s="71"/>
      <c r="E775" s="73"/>
      <c r="N775" s="74"/>
      <c r="O775" s="74"/>
      <c r="P775" s="74"/>
      <c r="Q775" s="74"/>
      <c r="R775" s="73"/>
      <c r="S775" s="74"/>
      <c r="T775" s="73"/>
      <c r="U775" s="74"/>
    </row>
    <row r="776">
      <c r="D776" s="71"/>
      <c r="E776" s="73"/>
      <c r="N776" s="74"/>
      <c r="O776" s="74"/>
      <c r="P776" s="74"/>
      <c r="Q776" s="74"/>
      <c r="R776" s="73"/>
      <c r="S776" s="74"/>
      <c r="T776" s="73"/>
      <c r="U776" s="74"/>
    </row>
    <row r="777">
      <c r="D777" s="71"/>
      <c r="E777" s="73"/>
      <c r="N777" s="74"/>
      <c r="O777" s="74"/>
      <c r="P777" s="74"/>
      <c r="Q777" s="74"/>
      <c r="R777" s="73"/>
      <c r="S777" s="74"/>
      <c r="T777" s="73"/>
      <c r="U777" s="74"/>
    </row>
    <row r="778">
      <c r="D778" s="71"/>
      <c r="E778" s="73"/>
      <c r="N778" s="74"/>
      <c r="O778" s="74"/>
      <c r="P778" s="74"/>
      <c r="Q778" s="74"/>
      <c r="R778" s="73"/>
      <c r="S778" s="74"/>
      <c r="T778" s="73"/>
      <c r="U778" s="74"/>
    </row>
    <row r="779">
      <c r="D779" s="71"/>
      <c r="E779" s="73"/>
      <c r="N779" s="74"/>
      <c r="O779" s="74"/>
      <c r="P779" s="74"/>
      <c r="Q779" s="74"/>
      <c r="R779" s="73"/>
      <c r="S779" s="74"/>
      <c r="T779" s="73"/>
      <c r="U779" s="74"/>
    </row>
    <row r="780">
      <c r="D780" s="71"/>
      <c r="E780" s="73"/>
      <c r="N780" s="74"/>
      <c r="O780" s="74"/>
      <c r="P780" s="74"/>
      <c r="Q780" s="74"/>
      <c r="R780" s="73"/>
      <c r="S780" s="74"/>
      <c r="T780" s="73"/>
      <c r="U780" s="74"/>
    </row>
    <row r="781">
      <c r="D781" s="71"/>
      <c r="E781" s="73"/>
      <c r="N781" s="74"/>
      <c r="O781" s="74"/>
      <c r="P781" s="74"/>
      <c r="Q781" s="74"/>
      <c r="R781" s="73"/>
      <c r="S781" s="74"/>
      <c r="T781" s="73"/>
      <c r="U781" s="74"/>
    </row>
    <row r="782">
      <c r="D782" s="71"/>
      <c r="E782" s="73"/>
      <c r="N782" s="74"/>
      <c r="O782" s="74"/>
      <c r="P782" s="74"/>
      <c r="Q782" s="74"/>
      <c r="R782" s="73"/>
      <c r="S782" s="74"/>
      <c r="T782" s="73"/>
      <c r="U782" s="74"/>
    </row>
    <row r="783">
      <c r="D783" s="71"/>
      <c r="E783" s="73"/>
      <c r="N783" s="74"/>
      <c r="O783" s="74"/>
      <c r="P783" s="74"/>
      <c r="Q783" s="74"/>
      <c r="R783" s="73"/>
      <c r="S783" s="74"/>
      <c r="T783" s="73"/>
      <c r="U783" s="74"/>
    </row>
    <row r="784">
      <c r="D784" s="71"/>
      <c r="E784" s="73"/>
      <c r="N784" s="74"/>
      <c r="O784" s="74"/>
      <c r="P784" s="74"/>
      <c r="Q784" s="74"/>
      <c r="R784" s="73"/>
      <c r="S784" s="74"/>
      <c r="T784" s="73"/>
      <c r="U784" s="74"/>
    </row>
    <row r="785">
      <c r="D785" s="71"/>
      <c r="E785" s="73"/>
      <c r="N785" s="74"/>
      <c r="O785" s="74"/>
      <c r="P785" s="74"/>
      <c r="Q785" s="74"/>
      <c r="R785" s="73"/>
      <c r="S785" s="74"/>
      <c r="T785" s="73"/>
      <c r="U785" s="74"/>
    </row>
    <row r="786">
      <c r="D786" s="71"/>
      <c r="E786" s="73"/>
      <c r="N786" s="74"/>
      <c r="O786" s="74"/>
      <c r="P786" s="74"/>
      <c r="Q786" s="74"/>
      <c r="R786" s="73"/>
      <c r="S786" s="74"/>
      <c r="T786" s="73"/>
      <c r="U786" s="74"/>
    </row>
    <row r="787">
      <c r="D787" s="71"/>
      <c r="E787" s="73"/>
      <c r="N787" s="74"/>
      <c r="O787" s="74"/>
      <c r="P787" s="74"/>
      <c r="Q787" s="74"/>
      <c r="R787" s="73"/>
      <c r="S787" s="74"/>
      <c r="T787" s="73"/>
      <c r="U787" s="74"/>
    </row>
    <row r="788">
      <c r="D788" s="71"/>
      <c r="E788" s="73"/>
      <c r="N788" s="74"/>
      <c r="O788" s="74"/>
      <c r="P788" s="74"/>
      <c r="Q788" s="74"/>
      <c r="R788" s="73"/>
      <c r="S788" s="74"/>
      <c r="T788" s="73"/>
      <c r="U788" s="74"/>
    </row>
    <row r="789">
      <c r="D789" s="71"/>
      <c r="E789" s="73"/>
      <c r="N789" s="74"/>
      <c r="O789" s="74"/>
      <c r="P789" s="74"/>
      <c r="Q789" s="74"/>
      <c r="R789" s="73"/>
      <c r="S789" s="74"/>
      <c r="T789" s="73"/>
      <c r="U789" s="74"/>
    </row>
    <row r="790">
      <c r="D790" s="71"/>
      <c r="E790" s="73"/>
      <c r="N790" s="74"/>
      <c r="O790" s="74"/>
      <c r="P790" s="74"/>
      <c r="Q790" s="74"/>
      <c r="R790" s="73"/>
      <c r="S790" s="74"/>
      <c r="T790" s="73"/>
      <c r="U790" s="74"/>
    </row>
    <row r="791">
      <c r="D791" s="71"/>
      <c r="E791" s="73"/>
      <c r="N791" s="74"/>
      <c r="O791" s="74"/>
      <c r="P791" s="74"/>
      <c r="Q791" s="74"/>
      <c r="R791" s="73"/>
      <c r="S791" s="74"/>
      <c r="T791" s="73"/>
      <c r="U791" s="74"/>
    </row>
    <row r="792">
      <c r="D792" s="71"/>
      <c r="E792" s="73"/>
      <c r="N792" s="74"/>
      <c r="O792" s="74"/>
      <c r="P792" s="74"/>
      <c r="Q792" s="74"/>
      <c r="R792" s="73"/>
      <c r="S792" s="74"/>
      <c r="T792" s="73"/>
      <c r="U792" s="74"/>
    </row>
    <row r="793">
      <c r="D793" s="71"/>
      <c r="E793" s="73"/>
      <c r="N793" s="74"/>
      <c r="O793" s="74"/>
      <c r="P793" s="74"/>
      <c r="Q793" s="74"/>
      <c r="R793" s="73"/>
      <c r="S793" s="74"/>
      <c r="T793" s="73"/>
      <c r="U793" s="74"/>
    </row>
    <row r="794">
      <c r="D794" s="71"/>
      <c r="E794" s="73"/>
      <c r="N794" s="74"/>
      <c r="O794" s="74"/>
      <c r="P794" s="74"/>
      <c r="Q794" s="74"/>
      <c r="R794" s="73"/>
      <c r="S794" s="74"/>
      <c r="T794" s="73"/>
      <c r="U794" s="74"/>
    </row>
    <row r="795">
      <c r="D795" s="71"/>
      <c r="E795" s="73"/>
      <c r="N795" s="74"/>
      <c r="O795" s="74"/>
      <c r="P795" s="74"/>
      <c r="Q795" s="74"/>
      <c r="R795" s="73"/>
      <c r="S795" s="74"/>
      <c r="T795" s="73"/>
      <c r="U795" s="74"/>
    </row>
    <row r="796">
      <c r="D796" s="71"/>
      <c r="E796" s="73"/>
      <c r="N796" s="74"/>
      <c r="O796" s="74"/>
      <c r="P796" s="74"/>
      <c r="Q796" s="74"/>
      <c r="R796" s="73"/>
      <c r="S796" s="74"/>
      <c r="T796" s="73"/>
      <c r="U796" s="74"/>
    </row>
    <row r="797">
      <c r="D797" s="71"/>
      <c r="E797" s="73"/>
      <c r="N797" s="74"/>
      <c r="O797" s="74"/>
      <c r="P797" s="74"/>
      <c r="Q797" s="74"/>
      <c r="R797" s="73"/>
      <c r="S797" s="74"/>
      <c r="T797" s="73"/>
      <c r="U797" s="74"/>
    </row>
    <row r="798">
      <c r="D798" s="71"/>
      <c r="E798" s="73"/>
      <c r="N798" s="74"/>
      <c r="O798" s="74"/>
      <c r="P798" s="74"/>
      <c r="Q798" s="74"/>
      <c r="R798" s="73"/>
      <c r="S798" s="74"/>
      <c r="T798" s="73"/>
      <c r="U798" s="74"/>
    </row>
    <row r="799">
      <c r="D799" s="71"/>
      <c r="E799" s="73"/>
      <c r="N799" s="74"/>
      <c r="O799" s="74"/>
      <c r="P799" s="74"/>
      <c r="Q799" s="74"/>
      <c r="R799" s="73"/>
      <c r="S799" s="74"/>
      <c r="T799" s="73"/>
      <c r="U799" s="74"/>
    </row>
    <row r="800">
      <c r="D800" s="71"/>
      <c r="E800" s="73"/>
      <c r="N800" s="74"/>
      <c r="O800" s="74"/>
      <c r="P800" s="74"/>
      <c r="Q800" s="74"/>
      <c r="R800" s="73"/>
      <c r="S800" s="74"/>
      <c r="T800" s="73"/>
      <c r="U800" s="74"/>
    </row>
    <row r="801">
      <c r="D801" s="71"/>
      <c r="E801" s="73"/>
      <c r="N801" s="74"/>
      <c r="O801" s="74"/>
      <c r="P801" s="74"/>
      <c r="Q801" s="74"/>
      <c r="R801" s="73"/>
      <c r="S801" s="74"/>
      <c r="T801" s="73"/>
      <c r="U801" s="74"/>
    </row>
    <row r="802">
      <c r="D802" s="71"/>
      <c r="E802" s="73"/>
      <c r="N802" s="74"/>
      <c r="O802" s="74"/>
      <c r="P802" s="74"/>
      <c r="Q802" s="74"/>
      <c r="R802" s="73"/>
      <c r="S802" s="74"/>
      <c r="T802" s="73"/>
      <c r="U802" s="74"/>
    </row>
    <row r="803">
      <c r="D803" s="71"/>
      <c r="E803" s="73"/>
      <c r="N803" s="74"/>
      <c r="O803" s="74"/>
      <c r="P803" s="74"/>
      <c r="Q803" s="74"/>
      <c r="R803" s="73"/>
      <c r="S803" s="74"/>
      <c r="T803" s="73"/>
      <c r="U803" s="74"/>
    </row>
    <row r="804">
      <c r="D804" s="71"/>
      <c r="E804" s="73"/>
      <c r="N804" s="74"/>
      <c r="O804" s="74"/>
      <c r="P804" s="74"/>
      <c r="Q804" s="74"/>
      <c r="R804" s="73"/>
      <c r="S804" s="74"/>
      <c r="T804" s="73"/>
      <c r="U804" s="74"/>
    </row>
    <row r="805">
      <c r="D805" s="71"/>
      <c r="E805" s="73"/>
      <c r="N805" s="74"/>
      <c r="O805" s="74"/>
      <c r="P805" s="74"/>
      <c r="Q805" s="74"/>
      <c r="R805" s="73"/>
      <c r="S805" s="74"/>
      <c r="T805" s="73"/>
      <c r="U805" s="74"/>
    </row>
    <row r="806">
      <c r="D806" s="71"/>
      <c r="E806" s="73"/>
      <c r="N806" s="74"/>
      <c r="O806" s="74"/>
      <c r="P806" s="74"/>
      <c r="Q806" s="74"/>
      <c r="R806" s="73"/>
      <c r="S806" s="74"/>
      <c r="T806" s="73"/>
      <c r="U806" s="74"/>
    </row>
    <row r="807">
      <c r="D807" s="71"/>
      <c r="E807" s="73"/>
      <c r="N807" s="74"/>
      <c r="O807" s="74"/>
      <c r="P807" s="74"/>
      <c r="Q807" s="74"/>
      <c r="R807" s="73"/>
      <c r="S807" s="74"/>
      <c r="T807" s="73"/>
      <c r="U807" s="74"/>
    </row>
    <row r="808">
      <c r="D808" s="71"/>
      <c r="E808" s="73"/>
      <c r="N808" s="74"/>
      <c r="O808" s="74"/>
      <c r="P808" s="74"/>
      <c r="Q808" s="74"/>
      <c r="R808" s="73"/>
      <c r="S808" s="74"/>
      <c r="T808" s="73"/>
      <c r="U808" s="74"/>
    </row>
    <row r="809">
      <c r="D809" s="71"/>
      <c r="E809" s="73"/>
      <c r="N809" s="74"/>
      <c r="O809" s="74"/>
      <c r="P809" s="74"/>
      <c r="Q809" s="74"/>
      <c r="R809" s="73"/>
      <c r="S809" s="74"/>
      <c r="T809" s="73"/>
      <c r="U809" s="74"/>
    </row>
    <row r="810">
      <c r="D810" s="71"/>
      <c r="E810" s="73"/>
      <c r="N810" s="74"/>
      <c r="O810" s="74"/>
      <c r="P810" s="74"/>
      <c r="Q810" s="74"/>
      <c r="R810" s="73"/>
      <c r="S810" s="74"/>
      <c r="T810" s="73"/>
      <c r="U810" s="74"/>
    </row>
    <row r="811">
      <c r="D811" s="71"/>
      <c r="E811" s="73"/>
      <c r="N811" s="74"/>
      <c r="O811" s="74"/>
      <c r="P811" s="74"/>
      <c r="Q811" s="74"/>
      <c r="R811" s="73"/>
      <c r="S811" s="74"/>
      <c r="T811" s="73"/>
      <c r="U811" s="74"/>
    </row>
    <row r="812">
      <c r="D812" s="71"/>
      <c r="E812" s="73"/>
      <c r="N812" s="74"/>
      <c r="O812" s="74"/>
      <c r="P812" s="74"/>
      <c r="Q812" s="74"/>
      <c r="R812" s="73"/>
      <c r="S812" s="74"/>
      <c r="T812" s="73"/>
      <c r="U812" s="74"/>
    </row>
    <row r="813">
      <c r="D813" s="71"/>
      <c r="E813" s="73"/>
      <c r="N813" s="74"/>
      <c r="O813" s="74"/>
      <c r="P813" s="74"/>
      <c r="Q813" s="74"/>
      <c r="R813" s="73"/>
      <c r="S813" s="74"/>
      <c r="T813" s="73"/>
      <c r="U813" s="74"/>
    </row>
    <row r="814">
      <c r="D814" s="71"/>
      <c r="E814" s="73"/>
      <c r="N814" s="74"/>
      <c r="O814" s="74"/>
      <c r="P814" s="74"/>
      <c r="Q814" s="74"/>
      <c r="R814" s="73"/>
      <c r="S814" s="74"/>
      <c r="T814" s="73"/>
      <c r="U814" s="74"/>
    </row>
    <row r="815">
      <c r="D815" s="71"/>
      <c r="E815" s="73"/>
      <c r="N815" s="74"/>
      <c r="O815" s="74"/>
      <c r="P815" s="74"/>
      <c r="Q815" s="74"/>
      <c r="R815" s="73"/>
      <c r="S815" s="74"/>
      <c r="T815" s="73"/>
      <c r="U815" s="74"/>
    </row>
    <row r="816">
      <c r="D816" s="71"/>
      <c r="E816" s="73"/>
      <c r="N816" s="74"/>
      <c r="O816" s="74"/>
      <c r="P816" s="74"/>
      <c r="Q816" s="74"/>
      <c r="R816" s="73"/>
      <c r="S816" s="74"/>
      <c r="T816" s="73"/>
      <c r="U816" s="74"/>
    </row>
    <row r="817">
      <c r="D817" s="71"/>
      <c r="E817" s="73"/>
      <c r="N817" s="74"/>
      <c r="O817" s="74"/>
      <c r="P817" s="74"/>
      <c r="Q817" s="74"/>
      <c r="R817" s="73"/>
      <c r="S817" s="74"/>
      <c r="T817" s="73"/>
      <c r="U817" s="74"/>
    </row>
    <row r="818">
      <c r="D818" s="71"/>
      <c r="E818" s="73"/>
      <c r="N818" s="74"/>
      <c r="O818" s="74"/>
      <c r="P818" s="74"/>
      <c r="Q818" s="74"/>
      <c r="R818" s="73"/>
      <c r="S818" s="74"/>
      <c r="T818" s="73"/>
      <c r="U818" s="74"/>
    </row>
    <row r="819">
      <c r="D819" s="71"/>
      <c r="E819" s="73"/>
      <c r="N819" s="74"/>
      <c r="O819" s="74"/>
      <c r="P819" s="74"/>
      <c r="Q819" s="74"/>
      <c r="R819" s="73"/>
      <c r="S819" s="74"/>
      <c r="T819" s="73"/>
      <c r="U819" s="74"/>
    </row>
    <row r="820">
      <c r="D820" s="71"/>
      <c r="E820" s="73"/>
      <c r="N820" s="74"/>
      <c r="O820" s="74"/>
      <c r="P820" s="74"/>
      <c r="Q820" s="74"/>
      <c r="R820" s="73"/>
      <c r="S820" s="74"/>
      <c r="T820" s="73"/>
      <c r="U820" s="74"/>
    </row>
    <row r="821">
      <c r="D821" s="71"/>
      <c r="E821" s="73"/>
      <c r="N821" s="74"/>
      <c r="O821" s="74"/>
      <c r="P821" s="74"/>
      <c r="Q821" s="74"/>
      <c r="R821" s="73"/>
      <c r="S821" s="74"/>
      <c r="T821" s="73"/>
      <c r="U821" s="74"/>
    </row>
    <row r="822">
      <c r="D822" s="71"/>
      <c r="E822" s="73"/>
      <c r="N822" s="74"/>
      <c r="O822" s="74"/>
      <c r="P822" s="74"/>
      <c r="Q822" s="74"/>
      <c r="R822" s="73"/>
      <c r="S822" s="74"/>
      <c r="T822" s="73"/>
      <c r="U822" s="74"/>
    </row>
    <row r="823">
      <c r="D823" s="71"/>
      <c r="E823" s="73"/>
      <c r="N823" s="74"/>
      <c r="O823" s="74"/>
      <c r="P823" s="74"/>
      <c r="Q823" s="74"/>
      <c r="R823" s="73"/>
      <c r="S823" s="74"/>
      <c r="T823" s="73"/>
      <c r="U823" s="74"/>
    </row>
    <row r="824">
      <c r="D824" s="71"/>
      <c r="E824" s="73"/>
      <c r="N824" s="74"/>
      <c r="O824" s="74"/>
      <c r="P824" s="74"/>
      <c r="Q824" s="74"/>
      <c r="R824" s="73"/>
      <c r="S824" s="74"/>
      <c r="T824" s="73"/>
      <c r="U824" s="74"/>
    </row>
    <row r="825">
      <c r="D825" s="71"/>
      <c r="E825" s="73"/>
      <c r="N825" s="74"/>
      <c r="O825" s="74"/>
      <c r="P825" s="74"/>
      <c r="Q825" s="74"/>
      <c r="R825" s="73"/>
      <c r="S825" s="74"/>
      <c r="T825" s="73"/>
      <c r="U825" s="74"/>
    </row>
    <row r="826">
      <c r="D826" s="71"/>
      <c r="E826" s="73"/>
      <c r="N826" s="74"/>
      <c r="O826" s="74"/>
      <c r="P826" s="74"/>
      <c r="Q826" s="74"/>
      <c r="R826" s="73"/>
      <c r="S826" s="74"/>
      <c r="T826" s="73"/>
      <c r="U826" s="74"/>
    </row>
    <row r="827">
      <c r="D827" s="71"/>
      <c r="E827" s="73"/>
      <c r="N827" s="74"/>
      <c r="O827" s="74"/>
      <c r="P827" s="74"/>
      <c r="Q827" s="74"/>
      <c r="R827" s="73"/>
      <c r="S827" s="74"/>
      <c r="T827" s="73"/>
      <c r="U827" s="74"/>
    </row>
    <row r="828">
      <c r="D828" s="71"/>
      <c r="E828" s="73"/>
      <c r="N828" s="74"/>
      <c r="O828" s="74"/>
      <c r="P828" s="74"/>
      <c r="Q828" s="74"/>
      <c r="R828" s="73"/>
      <c r="S828" s="74"/>
      <c r="T828" s="73"/>
      <c r="U828" s="74"/>
    </row>
    <row r="829">
      <c r="D829" s="71"/>
      <c r="E829" s="73"/>
      <c r="N829" s="74"/>
      <c r="O829" s="74"/>
      <c r="P829" s="74"/>
      <c r="Q829" s="74"/>
      <c r="R829" s="73"/>
      <c r="S829" s="74"/>
      <c r="T829" s="73"/>
      <c r="U829" s="74"/>
    </row>
    <row r="830">
      <c r="D830" s="71"/>
      <c r="E830" s="73"/>
      <c r="N830" s="74"/>
      <c r="O830" s="74"/>
      <c r="P830" s="74"/>
      <c r="Q830" s="74"/>
      <c r="R830" s="73"/>
      <c r="S830" s="74"/>
      <c r="T830" s="73"/>
      <c r="U830" s="74"/>
    </row>
    <row r="831">
      <c r="D831" s="71"/>
      <c r="E831" s="73"/>
      <c r="N831" s="74"/>
      <c r="O831" s="74"/>
      <c r="P831" s="74"/>
      <c r="Q831" s="74"/>
      <c r="R831" s="73"/>
      <c r="S831" s="74"/>
      <c r="T831" s="73"/>
      <c r="U831" s="74"/>
    </row>
    <row r="832">
      <c r="D832" s="71"/>
      <c r="E832" s="73"/>
      <c r="N832" s="74"/>
      <c r="O832" s="74"/>
      <c r="P832" s="74"/>
      <c r="Q832" s="74"/>
      <c r="R832" s="73"/>
      <c r="S832" s="74"/>
      <c r="T832" s="73"/>
      <c r="U832" s="74"/>
    </row>
    <row r="833">
      <c r="D833" s="71"/>
      <c r="E833" s="73"/>
      <c r="N833" s="74"/>
      <c r="O833" s="74"/>
      <c r="P833" s="74"/>
      <c r="Q833" s="74"/>
      <c r="R833" s="73"/>
      <c r="S833" s="74"/>
      <c r="T833" s="73"/>
      <c r="U833" s="74"/>
    </row>
    <row r="834">
      <c r="D834" s="71"/>
      <c r="E834" s="73"/>
      <c r="N834" s="74"/>
      <c r="O834" s="74"/>
      <c r="P834" s="74"/>
      <c r="Q834" s="74"/>
      <c r="R834" s="73"/>
      <c r="S834" s="74"/>
      <c r="T834" s="73"/>
      <c r="U834" s="74"/>
    </row>
    <row r="835">
      <c r="D835" s="71"/>
      <c r="E835" s="73"/>
      <c r="N835" s="74"/>
      <c r="O835" s="74"/>
      <c r="P835" s="74"/>
      <c r="Q835" s="74"/>
      <c r="R835" s="73"/>
      <c r="S835" s="74"/>
      <c r="T835" s="73"/>
      <c r="U835" s="74"/>
    </row>
    <row r="836">
      <c r="D836" s="71"/>
      <c r="E836" s="73"/>
      <c r="N836" s="74"/>
      <c r="O836" s="74"/>
      <c r="P836" s="74"/>
      <c r="Q836" s="74"/>
      <c r="R836" s="73"/>
      <c r="S836" s="74"/>
      <c r="T836" s="73"/>
      <c r="U836" s="74"/>
    </row>
    <row r="837">
      <c r="D837" s="71"/>
      <c r="E837" s="73"/>
      <c r="N837" s="74"/>
      <c r="O837" s="74"/>
      <c r="P837" s="74"/>
      <c r="Q837" s="74"/>
      <c r="R837" s="73"/>
      <c r="S837" s="74"/>
      <c r="T837" s="73"/>
      <c r="U837" s="74"/>
    </row>
    <row r="838">
      <c r="D838" s="71"/>
      <c r="E838" s="73"/>
      <c r="N838" s="74"/>
      <c r="O838" s="74"/>
      <c r="P838" s="74"/>
      <c r="Q838" s="74"/>
      <c r="R838" s="73"/>
      <c r="S838" s="74"/>
      <c r="T838" s="73"/>
      <c r="U838" s="74"/>
    </row>
    <row r="839">
      <c r="D839" s="71"/>
      <c r="E839" s="73"/>
      <c r="N839" s="74"/>
      <c r="O839" s="74"/>
      <c r="P839" s="74"/>
      <c r="Q839" s="74"/>
      <c r="R839" s="73"/>
      <c r="S839" s="74"/>
      <c r="T839" s="73"/>
      <c r="U839" s="74"/>
    </row>
    <row r="840">
      <c r="D840" s="71"/>
      <c r="E840" s="73"/>
      <c r="N840" s="74"/>
      <c r="O840" s="74"/>
      <c r="P840" s="74"/>
      <c r="Q840" s="74"/>
      <c r="R840" s="73"/>
      <c r="S840" s="74"/>
      <c r="T840" s="73"/>
      <c r="U840" s="74"/>
    </row>
    <row r="841">
      <c r="D841" s="71"/>
      <c r="E841" s="73"/>
      <c r="N841" s="74"/>
      <c r="O841" s="74"/>
      <c r="P841" s="74"/>
      <c r="Q841" s="74"/>
      <c r="R841" s="73"/>
      <c r="S841" s="74"/>
      <c r="T841" s="73"/>
      <c r="U841" s="74"/>
    </row>
    <row r="842">
      <c r="D842" s="71"/>
      <c r="E842" s="73"/>
      <c r="N842" s="74"/>
      <c r="O842" s="74"/>
      <c r="P842" s="74"/>
      <c r="Q842" s="74"/>
      <c r="R842" s="73"/>
      <c r="S842" s="74"/>
      <c r="T842" s="73"/>
      <c r="U842" s="74"/>
    </row>
    <row r="843">
      <c r="D843" s="71"/>
      <c r="E843" s="73"/>
      <c r="N843" s="74"/>
      <c r="O843" s="74"/>
      <c r="P843" s="74"/>
      <c r="Q843" s="74"/>
      <c r="R843" s="73"/>
      <c r="S843" s="74"/>
      <c r="T843" s="73"/>
      <c r="U843" s="74"/>
    </row>
    <row r="844">
      <c r="D844" s="71"/>
      <c r="E844" s="73"/>
      <c r="N844" s="74"/>
      <c r="O844" s="74"/>
      <c r="P844" s="74"/>
      <c r="Q844" s="74"/>
      <c r="R844" s="73"/>
      <c r="S844" s="74"/>
      <c r="T844" s="73"/>
      <c r="U844" s="74"/>
    </row>
    <row r="845">
      <c r="D845" s="71"/>
      <c r="E845" s="73"/>
      <c r="N845" s="74"/>
      <c r="O845" s="74"/>
      <c r="P845" s="74"/>
      <c r="Q845" s="74"/>
      <c r="R845" s="73"/>
      <c r="S845" s="74"/>
      <c r="T845" s="73"/>
      <c r="U845" s="74"/>
    </row>
    <row r="846">
      <c r="D846" s="71"/>
      <c r="E846" s="73"/>
      <c r="N846" s="74"/>
      <c r="O846" s="74"/>
      <c r="P846" s="74"/>
      <c r="Q846" s="74"/>
      <c r="R846" s="73"/>
      <c r="S846" s="74"/>
      <c r="T846" s="73"/>
      <c r="U846" s="74"/>
    </row>
    <row r="847">
      <c r="D847" s="71"/>
      <c r="E847" s="73"/>
      <c r="N847" s="74"/>
      <c r="O847" s="74"/>
      <c r="P847" s="74"/>
      <c r="Q847" s="74"/>
      <c r="R847" s="73"/>
      <c r="S847" s="74"/>
      <c r="T847" s="73"/>
      <c r="U847" s="74"/>
    </row>
    <row r="848">
      <c r="D848" s="71"/>
      <c r="E848" s="73"/>
      <c r="N848" s="74"/>
      <c r="O848" s="74"/>
      <c r="P848" s="74"/>
      <c r="Q848" s="74"/>
      <c r="R848" s="73"/>
      <c r="S848" s="74"/>
      <c r="T848" s="73"/>
      <c r="U848" s="74"/>
    </row>
    <row r="849">
      <c r="D849" s="71"/>
      <c r="E849" s="73"/>
      <c r="N849" s="74"/>
      <c r="O849" s="74"/>
      <c r="P849" s="74"/>
      <c r="Q849" s="74"/>
      <c r="R849" s="73"/>
      <c r="S849" s="74"/>
      <c r="T849" s="73"/>
      <c r="U849" s="74"/>
    </row>
    <row r="850">
      <c r="D850" s="71"/>
      <c r="E850" s="73"/>
      <c r="N850" s="74"/>
      <c r="O850" s="74"/>
      <c r="P850" s="74"/>
      <c r="Q850" s="74"/>
      <c r="R850" s="73"/>
      <c r="S850" s="74"/>
      <c r="T850" s="73"/>
      <c r="U850" s="74"/>
    </row>
    <row r="851">
      <c r="D851" s="71"/>
      <c r="E851" s="73"/>
      <c r="N851" s="74"/>
      <c r="O851" s="74"/>
      <c r="P851" s="74"/>
      <c r="Q851" s="74"/>
      <c r="R851" s="73"/>
      <c r="S851" s="74"/>
      <c r="T851" s="73"/>
      <c r="U851" s="74"/>
    </row>
    <row r="852">
      <c r="D852" s="71"/>
      <c r="E852" s="73"/>
      <c r="N852" s="74"/>
      <c r="O852" s="74"/>
      <c r="P852" s="74"/>
      <c r="Q852" s="74"/>
      <c r="R852" s="73"/>
      <c r="S852" s="74"/>
      <c r="T852" s="73"/>
      <c r="U852" s="74"/>
    </row>
    <row r="853">
      <c r="D853" s="71"/>
      <c r="E853" s="73"/>
      <c r="N853" s="74"/>
      <c r="O853" s="74"/>
      <c r="P853" s="74"/>
      <c r="Q853" s="74"/>
      <c r="R853" s="73"/>
      <c r="S853" s="74"/>
      <c r="T853" s="73"/>
      <c r="U853" s="74"/>
    </row>
    <row r="854">
      <c r="D854" s="71"/>
      <c r="E854" s="73"/>
      <c r="N854" s="74"/>
      <c r="O854" s="74"/>
      <c r="P854" s="74"/>
      <c r="Q854" s="74"/>
      <c r="R854" s="73"/>
      <c r="S854" s="74"/>
      <c r="T854" s="73"/>
      <c r="U854" s="74"/>
    </row>
    <row r="855">
      <c r="D855" s="71"/>
      <c r="E855" s="73"/>
      <c r="N855" s="74"/>
      <c r="O855" s="74"/>
      <c r="P855" s="74"/>
      <c r="Q855" s="74"/>
      <c r="R855" s="73"/>
      <c r="S855" s="74"/>
      <c r="T855" s="73"/>
      <c r="U855" s="74"/>
    </row>
    <row r="856">
      <c r="D856" s="71"/>
      <c r="E856" s="73"/>
      <c r="N856" s="74"/>
      <c r="O856" s="74"/>
      <c r="P856" s="74"/>
      <c r="Q856" s="74"/>
      <c r="R856" s="73"/>
      <c r="S856" s="74"/>
      <c r="T856" s="73"/>
      <c r="U856" s="74"/>
    </row>
    <row r="857">
      <c r="D857" s="71"/>
      <c r="E857" s="73"/>
      <c r="N857" s="74"/>
      <c r="O857" s="74"/>
      <c r="P857" s="74"/>
      <c r="Q857" s="74"/>
      <c r="R857" s="73"/>
      <c r="S857" s="74"/>
      <c r="T857" s="73"/>
      <c r="U857" s="74"/>
    </row>
    <row r="858">
      <c r="D858" s="71"/>
      <c r="E858" s="73"/>
      <c r="N858" s="74"/>
      <c r="O858" s="74"/>
      <c r="P858" s="74"/>
      <c r="Q858" s="74"/>
      <c r="R858" s="73"/>
      <c r="S858" s="74"/>
      <c r="T858" s="73"/>
      <c r="U858" s="74"/>
    </row>
    <row r="859">
      <c r="D859" s="71"/>
      <c r="E859" s="73"/>
      <c r="N859" s="74"/>
      <c r="O859" s="74"/>
      <c r="P859" s="74"/>
      <c r="Q859" s="74"/>
      <c r="R859" s="73"/>
      <c r="S859" s="74"/>
      <c r="T859" s="73"/>
      <c r="U859" s="74"/>
    </row>
    <row r="860">
      <c r="D860" s="71"/>
      <c r="E860" s="73"/>
      <c r="N860" s="74"/>
      <c r="O860" s="74"/>
      <c r="P860" s="74"/>
      <c r="Q860" s="74"/>
      <c r="R860" s="73"/>
      <c r="S860" s="74"/>
      <c r="T860" s="73"/>
      <c r="U860" s="74"/>
    </row>
    <row r="861">
      <c r="D861" s="71"/>
      <c r="E861" s="73"/>
      <c r="N861" s="74"/>
      <c r="O861" s="74"/>
      <c r="P861" s="74"/>
      <c r="Q861" s="74"/>
      <c r="R861" s="73"/>
      <c r="S861" s="74"/>
      <c r="T861" s="73"/>
      <c r="U861" s="74"/>
    </row>
    <row r="862">
      <c r="D862" s="71"/>
      <c r="E862" s="73"/>
      <c r="N862" s="74"/>
      <c r="O862" s="74"/>
      <c r="P862" s="74"/>
      <c r="Q862" s="74"/>
      <c r="R862" s="73"/>
      <c r="S862" s="74"/>
      <c r="T862" s="73"/>
      <c r="U862" s="74"/>
    </row>
    <row r="863">
      <c r="D863" s="71"/>
      <c r="E863" s="73"/>
      <c r="N863" s="74"/>
      <c r="O863" s="74"/>
      <c r="P863" s="74"/>
      <c r="Q863" s="74"/>
      <c r="R863" s="73"/>
      <c r="S863" s="74"/>
      <c r="T863" s="73"/>
      <c r="U863" s="74"/>
    </row>
    <row r="864">
      <c r="D864" s="71"/>
      <c r="E864" s="73"/>
      <c r="N864" s="74"/>
      <c r="O864" s="74"/>
      <c r="P864" s="74"/>
      <c r="Q864" s="74"/>
      <c r="R864" s="73"/>
      <c r="S864" s="74"/>
      <c r="T864" s="73"/>
      <c r="U864" s="74"/>
    </row>
    <row r="865">
      <c r="D865" s="71"/>
      <c r="E865" s="73"/>
      <c r="N865" s="74"/>
      <c r="O865" s="74"/>
      <c r="P865" s="74"/>
      <c r="Q865" s="74"/>
      <c r="R865" s="73"/>
      <c r="S865" s="74"/>
      <c r="T865" s="73"/>
      <c r="U865" s="74"/>
    </row>
    <row r="866">
      <c r="D866" s="71"/>
      <c r="E866" s="73"/>
      <c r="N866" s="74"/>
      <c r="O866" s="74"/>
      <c r="P866" s="74"/>
      <c r="Q866" s="74"/>
      <c r="R866" s="73"/>
      <c r="S866" s="74"/>
      <c r="T866" s="73"/>
      <c r="U866" s="74"/>
    </row>
    <row r="867">
      <c r="D867" s="71"/>
      <c r="E867" s="73"/>
      <c r="N867" s="74"/>
      <c r="O867" s="74"/>
      <c r="P867" s="74"/>
      <c r="Q867" s="74"/>
      <c r="R867" s="73"/>
      <c r="S867" s="74"/>
      <c r="T867" s="73"/>
      <c r="U867" s="74"/>
    </row>
    <row r="868">
      <c r="D868" s="71"/>
      <c r="E868" s="73"/>
      <c r="N868" s="74"/>
      <c r="O868" s="74"/>
      <c r="P868" s="74"/>
      <c r="Q868" s="74"/>
      <c r="R868" s="73"/>
      <c r="S868" s="74"/>
      <c r="T868" s="73"/>
      <c r="U868" s="74"/>
    </row>
    <row r="869">
      <c r="D869" s="71"/>
      <c r="E869" s="73"/>
      <c r="N869" s="74"/>
      <c r="O869" s="74"/>
      <c r="P869" s="74"/>
      <c r="Q869" s="74"/>
      <c r="R869" s="73"/>
      <c r="S869" s="74"/>
      <c r="T869" s="73"/>
      <c r="U869" s="74"/>
    </row>
    <row r="870">
      <c r="D870" s="71"/>
      <c r="E870" s="73"/>
      <c r="N870" s="74"/>
      <c r="O870" s="74"/>
      <c r="P870" s="74"/>
      <c r="Q870" s="74"/>
      <c r="R870" s="73"/>
      <c r="S870" s="74"/>
      <c r="T870" s="73"/>
      <c r="U870" s="74"/>
    </row>
    <row r="871">
      <c r="D871" s="71"/>
      <c r="E871" s="73"/>
      <c r="N871" s="74"/>
      <c r="O871" s="74"/>
      <c r="P871" s="74"/>
      <c r="Q871" s="74"/>
      <c r="R871" s="73"/>
      <c r="S871" s="74"/>
      <c r="T871" s="73"/>
      <c r="U871" s="74"/>
    </row>
    <row r="872">
      <c r="D872" s="71"/>
      <c r="E872" s="73"/>
      <c r="N872" s="74"/>
      <c r="O872" s="74"/>
      <c r="P872" s="74"/>
      <c r="Q872" s="74"/>
      <c r="R872" s="73"/>
      <c r="S872" s="74"/>
      <c r="T872" s="73"/>
      <c r="U872" s="74"/>
    </row>
    <row r="873">
      <c r="D873" s="71"/>
      <c r="E873" s="73"/>
      <c r="N873" s="74"/>
      <c r="O873" s="74"/>
      <c r="P873" s="74"/>
      <c r="Q873" s="74"/>
      <c r="R873" s="73"/>
      <c r="S873" s="74"/>
      <c r="T873" s="73"/>
      <c r="U873" s="74"/>
    </row>
    <row r="874">
      <c r="D874" s="71"/>
      <c r="E874" s="73"/>
      <c r="N874" s="74"/>
      <c r="O874" s="74"/>
      <c r="P874" s="74"/>
      <c r="Q874" s="74"/>
      <c r="R874" s="73"/>
      <c r="S874" s="74"/>
      <c r="T874" s="73"/>
      <c r="U874" s="74"/>
    </row>
    <row r="875">
      <c r="D875" s="71"/>
      <c r="E875" s="73"/>
      <c r="N875" s="74"/>
      <c r="O875" s="74"/>
      <c r="P875" s="74"/>
      <c r="Q875" s="74"/>
      <c r="R875" s="73"/>
      <c r="S875" s="74"/>
      <c r="T875" s="73"/>
      <c r="U875" s="74"/>
    </row>
    <row r="876">
      <c r="D876" s="71"/>
      <c r="E876" s="73"/>
      <c r="N876" s="74"/>
      <c r="O876" s="74"/>
      <c r="P876" s="74"/>
      <c r="Q876" s="74"/>
      <c r="R876" s="73"/>
      <c r="S876" s="74"/>
      <c r="T876" s="73"/>
      <c r="U876" s="74"/>
    </row>
    <row r="877">
      <c r="D877" s="71"/>
      <c r="E877" s="73"/>
      <c r="N877" s="74"/>
      <c r="O877" s="74"/>
      <c r="P877" s="74"/>
      <c r="Q877" s="74"/>
      <c r="R877" s="73"/>
      <c r="S877" s="74"/>
      <c r="T877" s="73"/>
      <c r="U877" s="74"/>
    </row>
    <row r="878">
      <c r="D878" s="71"/>
      <c r="E878" s="73"/>
      <c r="N878" s="74"/>
      <c r="O878" s="74"/>
      <c r="P878" s="74"/>
      <c r="Q878" s="74"/>
      <c r="R878" s="73"/>
      <c r="S878" s="74"/>
      <c r="T878" s="73"/>
      <c r="U878" s="74"/>
    </row>
    <row r="879">
      <c r="D879" s="71"/>
      <c r="E879" s="73"/>
      <c r="N879" s="74"/>
      <c r="O879" s="74"/>
      <c r="P879" s="74"/>
      <c r="Q879" s="74"/>
      <c r="R879" s="73"/>
      <c r="S879" s="74"/>
      <c r="T879" s="73"/>
      <c r="U879" s="74"/>
    </row>
    <row r="880">
      <c r="D880" s="71"/>
      <c r="E880" s="73"/>
      <c r="N880" s="74"/>
      <c r="O880" s="74"/>
      <c r="P880" s="74"/>
      <c r="Q880" s="74"/>
      <c r="R880" s="73"/>
      <c r="S880" s="74"/>
      <c r="T880" s="73"/>
      <c r="U880" s="74"/>
    </row>
    <row r="881">
      <c r="D881" s="71"/>
      <c r="E881" s="73"/>
      <c r="N881" s="74"/>
      <c r="O881" s="74"/>
      <c r="P881" s="74"/>
      <c r="Q881" s="74"/>
      <c r="R881" s="73"/>
      <c r="S881" s="74"/>
      <c r="T881" s="73"/>
      <c r="U881" s="74"/>
    </row>
    <row r="882">
      <c r="D882" s="71"/>
      <c r="E882" s="73"/>
      <c r="N882" s="74"/>
      <c r="O882" s="74"/>
      <c r="P882" s="74"/>
      <c r="Q882" s="74"/>
      <c r="R882" s="73"/>
      <c r="S882" s="74"/>
      <c r="T882" s="73"/>
      <c r="U882" s="74"/>
    </row>
    <row r="883">
      <c r="D883" s="71"/>
      <c r="E883" s="73"/>
      <c r="N883" s="74"/>
      <c r="O883" s="74"/>
      <c r="P883" s="74"/>
      <c r="Q883" s="74"/>
      <c r="R883" s="73"/>
      <c r="S883" s="74"/>
      <c r="T883" s="73"/>
      <c r="U883" s="74"/>
    </row>
    <row r="884">
      <c r="D884" s="71"/>
      <c r="E884" s="73"/>
      <c r="N884" s="74"/>
      <c r="O884" s="74"/>
      <c r="P884" s="74"/>
      <c r="Q884" s="74"/>
      <c r="R884" s="73"/>
      <c r="S884" s="74"/>
      <c r="T884" s="73"/>
      <c r="U884" s="74"/>
    </row>
    <row r="885">
      <c r="D885" s="71"/>
      <c r="E885" s="73"/>
      <c r="N885" s="74"/>
      <c r="O885" s="74"/>
      <c r="P885" s="74"/>
      <c r="Q885" s="74"/>
      <c r="R885" s="73"/>
      <c r="S885" s="74"/>
      <c r="T885" s="73"/>
      <c r="U885" s="74"/>
    </row>
    <row r="886">
      <c r="D886" s="71"/>
      <c r="E886" s="73"/>
      <c r="N886" s="74"/>
      <c r="O886" s="74"/>
      <c r="P886" s="74"/>
      <c r="Q886" s="74"/>
      <c r="R886" s="73"/>
      <c r="S886" s="74"/>
      <c r="T886" s="73"/>
      <c r="U886" s="74"/>
    </row>
    <row r="887">
      <c r="D887" s="71"/>
      <c r="E887" s="73"/>
      <c r="N887" s="74"/>
      <c r="O887" s="74"/>
      <c r="P887" s="74"/>
      <c r="Q887" s="74"/>
      <c r="R887" s="73"/>
      <c r="S887" s="74"/>
      <c r="T887" s="73"/>
      <c r="U887" s="74"/>
    </row>
    <row r="888">
      <c r="D888" s="71"/>
      <c r="E888" s="73"/>
      <c r="N888" s="74"/>
      <c r="O888" s="74"/>
      <c r="P888" s="74"/>
      <c r="Q888" s="74"/>
      <c r="R888" s="73"/>
      <c r="S888" s="74"/>
      <c r="T888" s="73"/>
      <c r="U888" s="74"/>
    </row>
    <row r="889">
      <c r="D889" s="71"/>
      <c r="E889" s="73"/>
      <c r="N889" s="74"/>
      <c r="O889" s="74"/>
      <c r="P889" s="74"/>
      <c r="Q889" s="74"/>
      <c r="R889" s="73"/>
      <c r="S889" s="74"/>
      <c r="T889" s="73"/>
      <c r="U889" s="74"/>
    </row>
    <row r="890">
      <c r="D890" s="71"/>
      <c r="E890" s="73"/>
      <c r="N890" s="74"/>
      <c r="O890" s="74"/>
      <c r="P890" s="74"/>
      <c r="Q890" s="74"/>
      <c r="R890" s="73"/>
      <c r="S890" s="74"/>
      <c r="T890" s="73"/>
      <c r="U890" s="74"/>
    </row>
    <row r="891">
      <c r="D891" s="71"/>
      <c r="E891" s="73"/>
      <c r="N891" s="74"/>
      <c r="O891" s="74"/>
      <c r="P891" s="74"/>
      <c r="Q891" s="74"/>
      <c r="R891" s="73"/>
      <c r="S891" s="74"/>
      <c r="T891" s="73"/>
      <c r="U891" s="74"/>
    </row>
    <row r="892">
      <c r="D892" s="71"/>
      <c r="E892" s="73"/>
      <c r="N892" s="74"/>
      <c r="O892" s="74"/>
      <c r="P892" s="74"/>
      <c r="Q892" s="74"/>
      <c r="R892" s="73"/>
      <c r="S892" s="74"/>
      <c r="T892" s="73"/>
      <c r="U892" s="74"/>
    </row>
    <row r="893">
      <c r="D893" s="71"/>
      <c r="E893" s="73"/>
      <c r="N893" s="74"/>
      <c r="O893" s="74"/>
      <c r="P893" s="74"/>
      <c r="Q893" s="74"/>
      <c r="R893" s="73"/>
      <c r="S893" s="74"/>
      <c r="T893" s="73"/>
      <c r="U893" s="74"/>
    </row>
    <row r="894">
      <c r="D894" s="71"/>
      <c r="E894" s="73"/>
      <c r="N894" s="74"/>
      <c r="O894" s="74"/>
      <c r="P894" s="74"/>
      <c r="Q894" s="74"/>
      <c r="R894" s="73"/>
      <c r="S894" s="74"/>
      <c r="T894" s="73"/>
      <c r="U894" s="74"/>
    </row>
    <row r="895">
      <c r="D895" s="71"/>
      <c r="E895" s="73"/>
      <c r="N895" s="74"/>
      <c r="O895" s="74"/>
      <c r="P895" s="74"/>
      <c r="Q895" s="74"/>
      <c r="R895" s="73"/>
      <c r="S895" s="74"/>
      <c r="T895" s="73"/>
      <c r="U895" s="74"/>
    </row>
    <row r="896">
      <c r="D896" s="71"/>
      <c r="E896" s="73"/>
      <c r="N896" s="74"/>
      <c r="O896" s="74"/>
      <c r="P896" s="74"/>
      <c r="Q896" s="74"/>
      <c r="R896" s="73"/>
      <c r="S896" s="74"/>
      <c r="T896" s="73"/>
      <c r="U896" s="74"/>
    </row>
    <row r="897">
      <c r="D897" s="71"/>
      <c r="E897" s="73"/>
      <c r="N897" s="74"/>
      <c r="O897" s="74"/>
      <c r="P897" s="74"/>
      <c r="Q897" s="74"/>
      <c r="R897" s="73"/>
      <c r="S897" s="74"/>
      <c r="T897" s="73"/>
      <c r="U897" s="74"/>
    </row>
    <row r="898">
      <c r="D898" s="71"/>
      <c r="E898" s="73"/>
      <c r="N898" s="74"/>
      <c r="O898" s="74"/>
      <c r="P898" s="74"/>
      <c r="Q898" s="74"/>
      <c r="R898" s="73"/>
      <c r="S898" s="74"/>
      <c r="T898" s="73"/>
      <c r="U898" s="74"/>
    </row>
    <row r="899">
      <c r="D899" s="71"/>
      <c r="E899" s="73"/>
      <c r="N899" s="74"/>
      <c r="O899" s="74"/>
      <c r="P899" s="74"/>
      <c r="Q899" s="74"/>
      <c r="R899" s="73"/>
      <c r="S899" s="74"/>
      <c r="T899" s="73"/>
      <c r="U899" s="74"/>
    </row>
    <row r="900">
      <c r="D900" s="71"/>
      <c r="E900" s="73"/>
      <c r="N900" s="74"/>
      <c r="O900" s="74"/>
      <c r="P900" s="74"/>
      <c r="Q900" s="74"/>
      <c r="R900" s="73"/>
      <c r="S900" s="74"/>
      <c r="T900" s="73"/>
      <c r="U900" s="74"/>
    </row>
    <row r="901">
      <c r="D901" s="71"/>
      <c r="E901" s="73"/>
      <c r="N901" s="74"/>
      <c r="O901" s="74"/>
      <c r="P901" s="74"/>
      <c r="Q901" s="74"/>
      <c r="R901" s="73"/>
      <c r="S901" s="74"/>
      <c r="T901" s="73"/>
      <c r="U901" s="74"/>
    </row>
    <row r="902">
      <c r="D902" s="71"/>
      <c r="E902" s="73"/>
      <c r="N902" s="74"/>
      <c r="O902" s="74"/>
      <c r="P902" s="74"/>
      <c r="Q902" s="74"/>
      <c r="R902" s="73"/>
      <c r="S902" s="74"/>
      <c r="T902" s="73"/>
      <c r="U902" s="74"/>
    </row>
    <row r="903">
      <c r="D903" s="71"/>
      <c r="E903" s="73"/>
      <c r="N903" s="74"/>
      <c r="O903" s="74"/>
      <c r="P903" s="74"/>
      <c r="Q903" s="74"/>
      <c r="R903" s="73"/>
      <c r="S903" s="74"/>
      <c r="T903" s="73"/>
      <c r="U903" s="74"/>
    </row>
    <row r="904">
      <c r="D904" s="71"/>
      <c r="E904" s="73"/>
      <c r="N904" s="74"/>
      <c r="O904" s="74"/>
      <c r="P904" s="74"/>
      <c r="Q904" s="74"/>
      <c r="R904" s="73"/>
      <c r="S904" s="74"/>
      <c r="T904" s="73"/>
      <c r="U904" s="74"/>
    </row>
    <row r="905">
      <c r="D905" s="71"/>
      <c r="E905" s="73"/>
      <c r="N905" s="74"/>
      <c r="O905" s="74"/>
      <c r="P905" s="74"/>
      <c r="Q905" s="74"/>
      <c r="R905" s="73"/>
      <c r="S905" s="74"/>
      <c r="T905" s="73"/>
      <c r="U905" s="74"/>
    </row>
    <row r="906">
      <c r="D906" s="71"/>
      <c r="E906" s="73"/>
      <c r="N906" s="74"/>
      <c r="O906" s="74"/>
      <c r="P906" s="74"/>
      <c r="Q906" s="74"/>
      <c r="R906" s="73"/>
      <c r="S906" s="74"/>
      <c r="T906" s="73"/>
      <c r="U906" s="74"/>
    </row>
    <row r="907">
      <c r="D907" s="71"/>
      <c r="E907" s="73"/>
      <c r="N907" s="74"/>
      <c r="O907" s="74"/>
      <c r="P907" s="74"/>
      <c r="Q907" s="74"/>
      <c r="R907" s="73"/>
      <c r="S907" s="74"/>
      <c r="T907" s="73"/>
      <c r="U907" s="74"/>
    </row>
    <row r="908">
      <c r="D908" s="71"/>
      <c r="E908" s="73"/>
      <c r="N908" s="74"/>
      <c r="O908" s="74"/>
      <c r="P908" s="74"/>
      <c r="Q908" s="74"/>
      <c r="R908" s="73"/>
      <c r="S908" s="74"/>
      <c r="T908" s="73"/>
      <c r="U908" s="74"/>
    </row>
    <row r="909">
      <c r="D909" s="71"/>
      <c r="E909" s="73"/>
      <c r="N909" s="74"/>
      <c r="O909" s="74"/>
      <c r="P909" s="74"/>
      <c r="Q909" s="74"/>
      <c r="R909" s="73"/>
      <c r="S909" s="74"/>
      <c r="T909" s="73"/>
      <c r="U909" s="74"/>
    </row>
    <row r="910">
      <c r="D910" s="71"/>
      <c r="E910" s="73"/>
      <c r="N910" s="74"/>
      <c r="O910" s="74"/>
      <c r="P910" s="74"/>
      <c r="Q910" s="74"/>
      <c r="R910" s="73"/>
      <c r="S910" s="74"/>
      <c r="T910" s="73"/>
      <c r="U910" s="74"/>
    </row>
    <row r="911">
      <c r="D911" s="71"/>
      <c r="E911" s="73"/>
      <c r="N911" s="74"/>
      <c r="O911" s="74"/>
      <c r="P911" s="74"/>
      <c r="Q911" s="74"/>
      <c r="R911" s="73"/>
      <c r="S911" s="74"/>
      <c r="T911" s="73"/>
      <c r="U911" s="74"/>
    </row>
    <row r="912">
      <c r="D912" s="71"/>
      <c r="E912" s="73"/>
      <c r="N912" s="74"/>
      <c r="O912" s="74"/>
      <c r="P912" s="74"/>
      <c r="Q912" s="74"/>
      <c r="R912" s="73"/>
      <c r="S912" s="74"/>
      <c r="T912" s="73"/>
      <c r="U912" s="74"/>
    </row>
    <row r="913">
      <c r="D913" s="71"/>
      <c r="E913" s="73"/>
      <c r="N913" s="74"/>
      <c r="O913" s="74"/>
      <c r="P913" s="74"/>
      <c r="Q913" s="74"/>
      <c r="R913" s="73"/>
      <c r="S913" s="74"/>
      <c r="T913" s="73"/>
      <c r="U913" s="74"/>
    </row>
    <row r="914">
      <c r="D914" s="71"/>
      <c r="E914" s="73"/>
      <c r="N914" s="74"/>
      <c r="O914" s="74"/>
      <c r="P914" s="74"/>
      <c r="Q914" s="74"/>
      <c r="R914" s="73"/>
      <c r="S914" s="74"/>
      <c r="T914" s="73"/>
      <c r="U914" s="74"/>
    </row>
    <row r="915">
      <c r="D915" s="71"/>
      <c r="E915" s="73"/>
      <c r="N915" s="74"/>
      <c r="O915" s="74"/>
      <c r="P915" s="74"/>
      <c r="Q915" s="74"/>
      <c r="R915" s="73"/>
      <c r="S915" s="74"/>
      <c r="T915" s="73"/>
      <c r="U915" s="74"/>
    </row>
  </sheetData>
  <mergeCells count="24">
    <mergeCell ref="D2:D3"/>
    <mergeCell ref="E2:H2"/>
    <mergeCell ref="A1:H1"/>
    <mergeCell ref="I1:I2"/>
    <mergeCell ref="J1:M1"/>
    <mergeCell ref="N1:U1"/>
    <mergeCell ref="W1:Z1"/>
    <mergeCell ref="A2:A3"/>
    <mergeCell ref="R2:U2"/>
    <mergeCell ref="Z2:Z3"/>
    <mergeCell ref="B2:B3"/>
    <mergeCell ref="C2:C3"/>
    <mergeCell ref="J2:J3"/>
    <mergeCell ref="K2:K3"/>
    <mergeCell ref="L2:L3"/>
    <mergeCell ref="M2:M3"/>
    <mergeCell ref="N2:N3"/>
    <mergeCell ref="O2:O3"/>
    <mergeCell ref="P2:P3"/>
    <mergeCell ref="Q2:Q3"/>
    <mergeCell ref="V1:V2"/>
    <mergeCell ref="W2:W3"/>
    <mergeCell ref="X2:X3"/>
    <mergeCell ref="Y2:Y3"/>
  </mergeCells>
  <dataValidations>
    <dataValidation type="list" allowBlank="1" sqref="Q4:Q8 D4:D40 Q10:Q40">
      <formula1>Data!$A$2:$A$12</formula1>
    </dataValidation>
    <dataValidation type="list" allowBlank="1" sqref="D41:D915 Q41:Q915">
      <formula1>Data!$A$2:$A$7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1.63"/>
    <col customWidth="1" min="3" max="3" width="12.88"/>
    <col customWidth="1" min="4" max="4" width="3.75"/>
    <col customWidth="1" min="5" max="5" width="7.0"/>
    <col customWidth="1" min="6" max="6" width="11.25"/>
    <col customWidth="1" min="7" max="7" width="8.25"/>
    <col customWidth="1" min="8" max="8" width="17.25"/>
    <col customWidth="1" min="9" max="9" width="10.5"/>
    <col customWidth="1" min="10" max="13" width="6.38"/>
  </cols>
  <sheetData>
    <row r="1">
      <c r="A1" s="7" t="s">
        <v>3</v>
      </c>
      <c r="B1" s="5"/>
      <c r="C1" s="5"/>
      <c r="D1" s="5"/>
      <c r="E1" s="5"/>
      <c r="F1" s="5"/>
      <c r="G1" s="5"/>
      <c r="H1" s="6"/>
      <c r="I1" s="8" t="s">
        <v>17</v>
      </c>
      <c r="J1" s="10" t="s">
        <v>18</v>
      </c>
      <c r="K1" s="11"/>
      <c r="L1" s="11"/>
      <c r="M1" s="12"/>
    </row>
    <row r="2">
      <c r="A2" s="14" t="s">
        <v>21</v>
      </c>
      <c r="B2" s="14" t="s">
        <v>22</v>
      </c>
      <c r="C2" s="14" t="s">
        <v>24</v>
      </c>
      <c r="D2" s="14" t="s">
        <v>0</v>
      </c>
      <c r="E2" s="18" t="s">
        <v>26</v>
      </c>
      <c r="F2" s="5"/>
      <c r="G2" s="5"/>
      <c r="H2" s="6"/>
      <c r="I2" s="15"/>
      <c r="J2" s="21" t="s">
        <v>29</v>
      </c>
      <c r="K2" s="21" t="s">
        <v>30</v>
      </c>
      <c r="L2" s="21" t="s">
        <v>31</v>
      </c>
      <c r="M2" s="21" t="s">
        <v>32</v>
      </c>
    </row>
    <row r="3">
      <c r="A3" s="15"/>
      <c r="B3" s="15"/>
      <c r="C3" s="15"/>
      <c r="D3" s="15"/>
      <c r="E3" s="25" t="s">
        <v>34</v>
      </c>
      <c r="F3" s="25" t="s">
        <v>35</v>
      </c>
      <c r="G3" s="25" t="s">
        <v>36</v>
      </c>
      <c r="H3" s="25" t="s">
        <v>37</v>
      </c>
      <c r="I3" s="29"/>
      <c r="J3" s="15"/>
      <c r="K3" s="15"/>
      <c r="L3" s="15"/>
      <c r="M3" s="15"/>
    </row>
    <row r="4">
      <c r="A4" s="31">
        <v>1.0</v>
      </c>
      <c r="B4" s="32" t="s">
        <v>38</v>
      </c>
      <c r="C4" s="34"/>
      <c r="D4" s="1"/>
      <c r="E4" s="42">
        <v>5350.0</v>
      </c>
      <c r="F4" s="1"/>
      <c r="G4" s="46">
        <f t="shared" ref="G4:G8" si="1">E4-F4</f>
        <v>5350</v>
      </c>
      <c r="H4" s="1"/>
      <c r="I4" s="48" t="s">
        <v>41</v>
      </c>
      <c r="J4" s="37"/>
      <c r="K4" s="37"/>
      <c r="L4" s="37"/>
      <c r="M4" s="37"/>
    </row>
    <row r="5">
      <c r="A5" s="31">
        <v>2.0</v>
      </c>
      <c r="B5" s="1" t="s">
        <v>44</v>
      </c>
      <c r="C5" s="37"/>
      <c r="D5" s="1"/>
      <c r="E5" s="42">
        <v>5350.0</v>
      </c>
      <c r="F5" s="1">
        <v>5350.0</v>
      </c>
      <c r="G5" s="46">
        <f t="shared" si="1"/>
        <v>0</v>
      </c>
      <c r="H5" s="1"/>
      <c r="I5" s="48" t="s">
        <v>45</v>
      </c>
      <c r="J5" s="37"/>
      <c r="K5" s="37"/>
      <c r="L5" s="37"/>
      <c r="M5" s="37"/>
    </row>
    <row r="6">
      <c r="A6" s="31">
        <v>3.0</v>
      </c>
      <c r="B6" s="1" t="s">
        <v>46</v>
      </c>
      <c r="C6" s="37"/>
      <c r="D6" s="1"/>
      <c r="E6" s="42">
        <v>5350.0</v>
      </c>
      <c r="F6" s="1"/>
      <c r="G6" s="46">
        <f t="shared" si="1"/>
        <v>5350</v>
      </c>
      <c r="H6" s="37"/>
      <c r="I6" s="48" t="s">
        <v>45</v>
      </c>
      <c r="J6" s="37"/>
      <c r="K6" s="37"/>
      <c r="L6" s="37"/>
      <c r="M6" s="37"/>
    </row>
    <row r="7">
      <c r="A7" s="31">
        <v>4.0</v>
      </c>
      <c r="B7" s="1" t="s">
        <v>49</v>
      </c>
      <c r="C7" s="37"/>
      <c r="D7" s="1"/>
      <c r="E7" s="42">
        <v>5350.0</v>
      </c>
      <c r="F7" s="1"/>
      <c r="G7" s="46">
        <f t="shared" si="1"/>
        <v>5350</v>
      </c>
      <c r="H7" s="1" t="s">
        <v>51</v>
      </c>
      <c r="I7" s="48" t="s">
        <v>45</v>
      </c>
      <c r="J7" s="37"/>
      <c r="K7" s="37"/>
      <c r="L7" s="37"/>
      <c r="M7" s="37"/>
    </row>
    <row r="8">
      <c r="A8" s="31">
        <v>5.0</v>
      </c>
      <c r="B8" s="1" t="s">
        <v>53</v>
      </c>
      <c r="C8" s="37"/>
      <c r="D8" s="37"/>
      <c r="E8" s="42">
        <v>5350.0</v>
      </c>
      <c r="F8" s="37"/>
      <c r="G8" s="46">
        <f t="shared" si="1"/>
        <v>5350</v>
      </c>
      <c r="H8" s="1"/>
      <c r="I8" s="48" t="s">
        <v>55</v>
      </c>
      <c r="J8" s="37"/>
      <c r="K8" s="37"/>
      <c r="L8" s="37"/>
      <c r="M8" s="37"/>
    </row>
    <row r="9">
      <c r="A9" s="31">
        <v>6.0</v>
      </c>
      <c r="B9" s="1" t="s">
        <v>56</v>
      </c>
      <c r="C9" s="37"/>
      <c r="D9" s="37"/>
      <c r="E9" s="42">
        <v>5350.0</v>
      </c>
      <c r="F9" s="37"/>
      <c r="G9" s="46">
        <f>E9-E9</f>
        <v>0</v>
      </c>
      <c r="H9" s="1" t="s">
        <v>59</v>
      </c>
      <c r="I9" s="48" t="s">
        <v>60</v>
      </c>
      <c r="J9" s="37"/>
      <c r="K9" s="37"/>
      <c r="L9" s="37"/>
      <c r="M9" s="37"/>
    </row>
    <row r="10">
      <c r="A10" s="31"/>
      <c r="B10" s="1"/>
      <c r="C10" s="37"/>
      <c r="D10" s="37"/>
      <c r="E10" s="42">
        <v>5350.0</v>
      </c>
      <c r="F10" s="37"/>
      <c r="G10" s="46">
        <f t="shared" ref="G10:G36" si="2">E10-F10</f>
        <v>5350</v>
      </c>
      <c r="H10" s="1"/>
      <c r="I10" s="48"/>
      <c r="J10" s="37"/>
      <c r="K10" s="37"/>
      <c r="L10" s="37"/>
      <c r="M10" s="37"/>
    </row>
    <row r="11">
      <c r="A11" s="31"/>
      <c r="B11" s="1"/>
      <c r="C11" s="37"/>
      <c r="D11" s="37"/>
      <c r="E11" s="42">
        <v>5350.0</v>
      </c>
      <c r="F11" s="37"/>
      <c r="G11" s="46">
        <f t="shared" si="2"/>
        <v>5350</v>
      </c>
      <c r="H11" s="1"/>
      <c r="I11" s="29"/>
      <c r="J11" s="37"/>
      <c r="K11" s="37"/>
      <c r="L11" s="37"/>
      <c r="M11" s="37"/>
    </row>
    <row r="12">
      <c r="A12" s="31">
        <v>8.0</v>
      </c>
      <c r="B12" s="1"/>
      <c r="C12" s="37"/>
      <c r="D12" s="37"/>
      <c r="E12" s="42">
        <v>5350.0</v>
      </c>
      <c r="F12" s="37"/>
      <c r="G12" s="46">
        <f t="shared" si="2"/>
        <v>5350</v>
      </c>
      <c r="H12" s="55"/>
      <c r="I12" s="29"/>
      <c r="J12" s="37"/>
      <c r="K12" s="37"/>
      <c r="L12" s="37"/>
      <c r="M12" s="37"/>
    </row>
    <row r="13">
      <c r="A13" s="31">
        <v>9.0</v>
      </c>
      <c r="B13" s="1" t="s">
        <v>75</v>
      </c>
      <c r="C13" s="37"/>
      <c r="D13" s="37"/>
      <c r="E13" s="42">
        <v>5350.0</v>
      </c>
      <c r="F13" s="37"/>
      <c r="G13" s="46">
        <f t="shared" si="2"/>
        <v>5350</v>
      </c>
      <c r="H13" s="1"/>
      <c r="I13" s="29"/>
      <c r="J13" s="37"/>
      <c r="K13" s="37"/>
      <c r="L13" s="37"/>
      <c r="M13" s="37"/>
    </row>
    <row r="14">
      <c r="A14" s="31"/>
      <c r="B14" s="1" t="s">
        <v>78</v>
      </c>
      <c r="C14" s="37"/>
      <c r="D14" s="37"/>
      <c r="E14" s="42"/>
      <c r="F14" s="37"/>
      <c r="G14" s="46">
        <f t="shared" si="2"/>
        <v>0</v>
      </c>
      <c r="H14" s="1"/>
      <c r="I14" s="29"/>
    </row>
    <row r="15">
      <c r="A15" s="31">
        <v>10.0</v>
      </c>
      <c r="B15" s="1" t="s">
        <v>80</v>
      </c>
      <c r="C15" s="37"/>
      <c r="D15" s="37"/>
      <c r="E15" s="42"/>
      <c r="F15" s="37"/>
      <c r="G15" s="46">
        <f t="shared" si="2"/>
        <v>0</v>
      </c>
      <c r="H15" s="1" t="s">
        <v>83</v>
      </c>
      <c r="I15" s="29"/>
    </row>
    <row r="16">
      <c r="A16" s="31"/>
      <c r="B16" s="1"/>
      <c r="C16" s="37"/>
      <c r="D16" s="37"/>
      <c r="E16" s="42"/>
      <c r="F16" s="37"/>
      <c r="G16" s="46">
        <f t="shared" si="2"/>
        <v>0</v>
      </c>
      <c r="H16" s="37"/>
      <c r="I16" s="29"/>
    </row>
    <row r="17">
      <c r="A17" s="31"/>
      <c r="B17" s="37"/>
      <c r="C17" s="37"/>
      <c r="D17" s="37"/>
      <c r="E17" s="42"/>
      <c r="F17" s="37"/>
      <c r="G17" s="46">
        <f t="shared" si="2"/>
        <v>0</v>
      </c>
      <c r="H17" s="37"/>
      <c r="I17" s="29"/>
    </row>
    <row r="18">
      <c r="A18" s="31"/>
      <c r="B18" s="37"/>
      <c r="C18" s="37"/>
      <c r="D18" s="37"/>
      <c r="E18" s="42"/>
      <c r="F18" s="37"/>
      <c r="G18" s="46">
        <f t="shared" si="2"/>
        <v>0</v>
      </c>
      <c r="H18" s="37"/>
      <c r="I18" s="29"/>
    </row>
    <row r="19">
      <c r="A19" s="31"/>
      <c r="B19" s="37"/>
      <c r="C19" s="37"/>
      <c r="D19" s="37"/>
      <c r="E19" s="42"/>
      <c r="F19" s="37"/>
      <c r="G19" s="46">
        <f t="shared" si="2"/>
        <v>0</v>
      </c>
      <c r="H19" s="37"/>
      <c r="I19" s="29"/>
    </row>
    <row r="20">
      <c r="A20" s="31"/>
      <c r="B20" s="37"/>
      <c r="C20" s="37"/>
      <c r="D20" s="37"/>
      <c r="E20" s="42"/>
      <c r="F20" s="37"/>
      <c r="G20" s="46">
        <f t="shared" si="2"/>
        <v>0</v>
      </c>
      <c r="H20" s="37"/>
      <c r="I20" s="29"/>
    </row>
    <row r="21">
      <c r="A21" s="31"/>
      <c r="B21" s="37"/>
      <c r="C21" s="37"/>
      <c r="D21" s="37"/>
      <c r="E21" s="42"/>
      <c r="F21" s="37"/>
      <c r="G21" s="46">
        <f t="shared" si="2"/>
        <v>0</v>
      </c>
      <c r="H21" s="37"/>
      <c r="I21" s="29"/>
    </row>
    <row r="22">
      <c r="A22" s="31"/>
      <c r="B22" s="37"/>
      <c r="C22" s="37"/>
      <c r="D22" s="37"/>
      <c r="E22" s="42"/>
      <c r="F22" s="37"/>
      <c r="G22" s="46">
        <f t="shared" si="2"/>
        <v>0</v>
      </c>
      <c r="H22" s="37"/>
      <c r="I22" s="29"/>
    </row>
    <row r="23">
      <c r="A23" s="31"/>
      <c r="B23" s="37"/>
      <c r="C23" s="37"/>
      <c r="D23" s="37"/>
      <c r="E23" s="42"/>
      <c r="F23" s="37"/>
      <c r="G23" s="46">
        <f t="shared" si="2"/>
        <v>0</v>
      </c>
      <c r="H23" s="37"/>
      <c r="I23" s="29"/>
    </row>
    <row r="24">
      <c r="A24" s="31"/>
      <c r="B24" s="37"/>
      <c r="C24" s="37"/>
      <c r="D24" s="37"/>
      <c r="E24" s="42"/>
      <c r="F24" s="37"/>
      <c r="G24" s="46">
        <f t="shared" si="2"/>
        <v>0</v>
      </c>
      <c r="H24" s="37"/>
      <c r="I24" s="29"/>
    </row>
    <row r="25">
      <c r="A25" s="31"/>
      <c r="B25" s="37"/>
      <c r="C25" s="37"/>
      <c r="D25" s="37"/>
      <c r="E25" s="42"/>
      <c r="F25" s="37"/>
      <c r="G25" s="46">
        <f t="shared" si="2"/>
        <v>0</v>
      </c>
      <c r="H25" s="37"/>
      <c r="I25" s="29"/>
    </row>
    <row r="26">
      <c r="A26" s="31"/>
      <c r="B26" s="37"/>
      <c r="C26" s="37"/>
      <c r="D26" s="37"/>
      <c r="E26" s="42"/>
      <c r="F26" s="37"/>
      <c r="G26" s="46">
        <f t="shared" si="2"/>
        <v>0</v>
      </c>
      <c r="H26" s="37"/>
      <c r="I26" s="29"/>
    </row>
    <row r="27">
      <c r="A27" s="31"/>
      <c r="B27" s="37"/>
      <c r="C27" s="37"/>
      <c r="D27" s="37"/>
      <c r="E27" s="42"/>
      <c r="F27" s="37"/>
      <c r="G27" s="46">
        <f t="shared" si="2"/>
        <v>0</v>
      </c>
      <c r="H27" s="37"/>
      <c r="I27" s="29"/>
    </row>
    <row r="28">
      <c r="A28" s="31"/>
      <c r="B28" s="37"/>
      <c r="C28" s="37"/>
      <c r="D28" s="37"/>
      <c r="E28" s="42"/>
      <c r="F28" s="37"/>
      <c r="G28" s="46">
        <f t="shared" si="2"/>
        <v>0</v>
      </c>
      <c r="H28" s="37"/>
      <c r="I28" s="29"/>
    </row>
    <row r="29">
      <c r="A29" s="31"/>
      <c r="B29" s="37"/>
      <c r="C29" s="37"/>
      <c r="D29" s="37"/>
      <c r="E29" s="42"/>
      <c r="F29" s="37"/>
      <c r="G29" s="46">
        <f t="shared" si="2"/>
        <v>0</v>
      </c>
      <c r="H29" s="37"/>
      <c r="I29" s="29"/>
    </row>
    <row r="30">
      <c r="A30" s="31"/>
      <c r="B30" s="37"/>
      <c r="C30" s="37"/>
      <c r="D30" s="37"/>
      <c r="E30" s="42"/>
      <c r="F30" s="37"/>
      <c r="G30" s="46">
        <f t="shared" si="2"/>
        <v>0</v>
      </c>
      <c r="H30" s="37"/>
      <c r="I30" s="29"/>
    </row>
    <row r="31">
      <c r="A31" s="31"/>
      <c r="B31" s="37"/>
      <c r="C31" s="37"/>
      <c r="D31" s="37"/>
      <c r="E31" s="42"/>
      <c r="F31" s="37"/>
      <c r="G31" s="46">
        <f t="shared" si="2"/>
        <v>0</v>
      </c>
      <c r="H31" s="37"/>
      <c r="I31" s="29"/>
    </row>
    <row r="32">
      <c r="A32" s="31"/>
      <c r="B32" s="37"/>
      <c r="C32" s="37"/>
      <c r="D32" s="37"/>
      <c r="E32" s="42"/>
      <c r="F32" s="37"/>
      <c r="G32" s="46">
        <f t="shared" si="2"/>
        <v>0</v>
      </c>
      <c r="H32" s="37"/>
      <c r="I32" s="29"/>
    </row>
    <row r="33">
      <c r="A33" s="31"/>
      <c r="B33" s="37"/>
      <c r="C33" s="37"/>
      <c r="D33" s="37"/>
      <c r="E33" s="42"/>
      <c r="F33" s="37"/>
      <c r="G33" s="46">
        <f t="shared" si="2"/>
        <v>0</v>
      </c>
      <c r="H33" s="37"/>
      <c r="I33" s="29"/>
    </row>
    <row r="34">
      <c r="A34" s="31"/>
      <c r="B34" s="37"/>
      <c r="C34" s="37"/>
      <c r="D34" s="37"/>
      <c r="E34" s="42"/>
      <c r="F34" s="37"/>
      <c r="G34" s="46">
        <f t="shared" si="2"/>
        <v>0</v>
      </c>
      <c r="H34" s="37"/>
      <c r="I34" s="29"/>
    </row>
    <row r="35">
      <c r="A35" s="31"/>
      <c r="B35" s="37"/>
      <c r="C35" s="37"/>
      <c r="D35" s="37"/>
      <c r="E35" s="42"/>
      <c r="F35" s="37"/>
      <c r="G35" s="46">
        <f t="shared" si="2"/>
        <v>0</v>
      </c>
      <c r="H35" s="37"/>
      <c r="I35" s="29"/>
    </row>
    <row r="36">
      <c r="A36" s="31"/>
      <c r="B36" s="37"/>
      <c r="C36" s="37"/>
      <c r="D36" s="37"/>
      <c r="E36" s="42"/>
      <c r="F36" s="37"/>
      <c r="G36" s="46">
        <f t="shared" si="2"/>
        <v>0</v>
      </c>
      <c r="H36" s="37"/>
      <c r="I36" s="29"/>
    </row>
    <row r="37">
      <c r="A37" s="1"/>
      <c r="B37" s="40">
        <f>countif(B4:B36,"*")</f>
        <v>9</v>
      </c>
      <c r="C37" s="37"/>
      <c r="D37" s="37"/>
      <c r="E37" s="42"/>
      <c r="F37" s="37"/>
      <c r="G37" s="37"/>
      <c r="H37" s="37"/>
      <c r="I37" s="37"/>
    </row>
  </sheetData>
  <mergeCells count="12">
    <mergeCell ref="I1:I2"/>
    <mergeCell ref="J2:J3"/>
    <mergeCell ref="K2:K3"/>
    <mergeCell ref="L2:L3"/>
    <mergeCell ref="A1:H1"/>
    <mergeCell ref="J1:M1"/>
    <mergeCell ref="A2:A3"/>
    <mergeCell ref="B2:B3"/>
    <mergeCell ref="C2:C3"/>
    <mergeCell ref="D2:D3"/>
    <mergeCell ref="E2:H2"/>
    <mergeCell ref="M2:M3"/>
  </mergeCells>
  <dataValidations>
    <dataValidation type="list" allowBlank="1" sqref="D4:D36">
      <formula1>Data!$A$2:$A$12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3" max="3" width="4.0"/>
    <col customWidth="1" min="4" max="4" width="3.25"/>
    <col customWidth="1" min="5" max="5" width="9.38"/>
    <col customWidth="1" min="6" max="6" width="5.5"/>
    <col customWidth="1" min="7" max="7" width="9.5"/>
    <col customWidth="1" min="8" max="8" width="6.38"/>
    <col customWidth="1" min="9" max="9" width="7.88"/>
    <col customWidth="1" min="10" max="10" width="6.0"/>
    <col customWidth="1" min="11" max="11" width="5.5"/>
    <col customWidth="1" min="12" max="12" width="6.75"/>
    <col customWidth="1" min="13" max="13" width="5.5"/>
  </cols>
  <sheetData>
    <row r="1">
      <c r="A1" s="3" t="s">
        <v>40</v>
      </c>
      <c r="B1" s="5"/>
      <c r="C1" s="5"/>
      <c r="D1" s="5"/>
      <c r="E1" s="5"/>
      <c r="F1" s="5"/>
      <c r="G1" s="5"/>
      <c r="H1" s="6"/>
      <c r="I1" s="8" t="s">
        <v>17</v>
      </c>
      <c r="J1" s="10" t="s">
        <v>18</v>
      </c>
      <c r="K1" s="11"/>
      <c r="L1" s="11"/>
      <c r="M1" s="12"/>
    </row>
    <row r="2">
      <c r="A2" s="14" t="s">
        <v>21</v>
      </c>
      <c r="B2" s="14" t="s">
        <v>22</v>
      </c>
      <c r="C2" s="14" t="s">
        <v>24</v>
      </c>
      <c r="D2" s="14" t="s">
        <v>0</v>
      </c>
      <c r="E2" s="18" t="s">
        <v>26</v>
      </c>
      <c r="F2" s="5"/>
      <c r="G2" s="5"/>
      <c r="H2" s="6"/>
      <c r="I2" s="15"/>
      <c r="J2" s="21" t="s">
        <v>29</v>
      </c>
      <c r="K2" s="21" t="s">
        <v>30</v>
      </c>
      <c r="L2" s="21" t="s">
        <v>31</v>
      </c>
      <c r="M2" s="21" t="s">
        <v>32</v>
      </c>
    </row>
    <row r="3">
      <c r="A3" s="15"/>
      <c r="B3" s="15"/>
      <c r="C3" s="15"/>
      <c r="D3" s="15"/>
      <c r="E3" s="25" t="s">
        <v>34</v>
      </c>
      <c r="F3" s="25" t="s">
        <v>35</v>
      </c>
      <c r="G3" s="25" t="s">
        <v>36</v>
      </c>
      <c r="H3" s="25" t="s">
        <v>37</v>
      </c>
      <c r="I3" s="51"/>
      <c r="J3" s="15"/>
      <c r="K3" s="15"/>
      <c r="L3" s="15"/>
      <c r="M3" s="15"/>
    </row>
    <row r="4">
      <c r="A4" s="31">
        <v>1.0</v>
      </c>
      <c r="B4" s="32" t="s">
        <v>48</v>
      </c>
      <c r="C4" s="34"/>
      <c r="D4" s="1"/>
      <c r="E4" s="42">
        <v>5000.0</v>
      </c>
      <c r="F4" s="1">
        <v>5000.0</v>
      </c>
      <c r="G4" s="46">
        <f t="shared" ref="G4:G40" si="1">E4-F4</f>
        <v>0</v>
      </c>
      <c r="H4" s="1"/>
      <c r="I4" s="57"/>
      <c r="J4" s="58" t="s">
        <v>57</v>
      </c>
      <c r="K4" s="58" t="s">
        <v>50</v>
      </c>
      <c r="L4" s="58" t="s">
        <v>61</v>
      </c>
      <c r="M4" s="58" t="s">
        <v>50</v>
      </c>
    </row>
    <row r="5">
      <c r="A5" s="31">
        <v>2.0</v>
      </c>
      <c r="B5" s="1" t="s">
        <v>62</v>
      </c>
      <c r="C5" s="37"/>
      <c r="D5" s="1"/>
      <c r="E5" s="42">
        <v>5000.0</v>
      </c>
      <c r="F5" s="1">
        <v>5000.0</v>
      </c>
      <c r="G5" s="46">
        <f t="shared" si="1"/>
        <v>0</v>
      </c>
      <c r="H5" s="1"/>
      <c r="I5" s="57"/>
      <c r="J5" s="58" t="s">
        <v>50</v>
      </c>
      <c r="K5" s="58" t="s">
        <v>50</v>
      </c>
      <c r="L5" s="58" t="s">
        <v>50</v>
      </c>
      <c r="M5" s="58" t="s">
        <v>50</v>
      </c>
    </row>
    <row r="6">
      <c r="A6" s="31">
        <v>3.0</v>
      </c>
      <c r="B6" s="1" t="s">
        <v>66</v>
      </c>
      <c r="C6" s="37"/>
      <c r="D6" s="1"/>
      <c r="E6" s="42">
        <v>5000.0</v>
      </c>
      <c r="F6" s="1">
        <v>5000.0</v>
      </c>
      <c r="G6" s="46">
        <f t="shared" si="1"/>
        <v>0</v>
      </c>
      <c r="H6" s="1"/>
      <c r="I6" s="51"/>
      <c r="J6" s="58" t="s">
        <v>50</v>
      </c>
      <c r="K6" s="58" t="s">
        <v>50</v>
      </c>
      <c r="L6" s="58" t="s">
        <v>50</v>
      </c>
      <c r="M6" s="58" t="s">
        <v>50</v>
      </c>
    </row>
    <row r="7">
      <c r="A7" s="31">
        <v>4.0</v>
      </c>
      <c r="B7" s="1" t="s">
        <v>68</v>
      </c>
      <c r="C7" s="37"/>
      <c r="D7" s="1"/>
      <c r="E7" s="42">
        <v>5000.0</v>
      </c>
      <c r="F7" s="1">
        <v>5000.0</v>
      </c>
      <c r="G7" s="46">
        <f t="shared" si="1"/>
        <v>0</v>
      </c>
      <c r="H7" s="37"/>
      <c r="I7" s="57"/>
      <c r="J7" s="58" t="s">
        <v>50</v>
      </c>
      <c r="K7" s="58" t="s">
        <v>50</v>
      </c>
      <c r="L7" s="58" t="s">
        <v>71</v>
      </c>
      <c r="M7" s="58" t="s">
        <v>50</v>
      </c>
    </row>
    <row r="8">
      <c r="A8" s="31">
        <v>5.0</v>
      </c>
      <c r="B8" s="1" t="s">
        <v>72</v>
      </c>
      <c r="C8" s="37"/>
      <c r="D8" s="1"/>
      <c r="E8" s="42">
        <v>5000.0</v>
      </c>
      <c r="F8" s="1">
        <v>5000.0</v>
      </c>
      <c r="G8" s="46">
        <f t="shared" si="1"/>
        <v>0</v>
      </c>
      <c r="H8" s="37"/>
      <c r="I8" s="57"/>
      <c r="J8" s="58" t="s">
        <v>50</v>
      </c>
      <c r="K8" s="58" t="s">
        <v>50</v>
      </c>
      <c r="L8" s="58" t="s">
        <v>50</v>
      </c>
      <c r="M8" s="58" t="s">
        <v>50</v>
      </c>
    </row>
    <row r="9">
      <c r="A9" s="31">
        <v>6.0</v>
      </c>
      <c r="B9" s="1" t="s">
        <v>74</v>
      </c>
      <c r="C9" s="37"/>
      <c r="D9" s="1"/>
      <c r="E9" s="42">
        <v>5000.0</v>
      </c>
      <c r="F9" s="1">
        <v>5000.0</v>
      </c>
      <c r="G9" s="46">
        <f t="shared" si="1"/>
        <v>0</v>
      </c>
      <c r="H9" s="1"/>
      <c r="I9" s="57"/>
      <c r="J9" s="58" t="s">
        <v>50</v>
      </c>
      <c r="K9" s="58" t="s">
        <v>50</v>
      </c>
      <c r="L9" s="58" t="s">
        <v>50</v>
      </c>
      <c r="M9" s="58" t="s">
        <v>50</v>
      </c>
    </row>
    <row r="10">
      <c r="A10" s="31">
        <v>7.0</v>
      </c>
      <c r="B10" s="1" t="s">
        <v>76</v>
      </c>
      <c r="C10" s="37"/>
      <c r="D10" s="37"/>
      <c r="E10" s="42">
        <v>5000.0</v>
      </c>
      <c r="F10" s="1">
        <v>5000.0</v>
      </c>
      <c r="G10" s="46">
        <f t="shared" si="1"/>
        <v>0</v>
      </c>
      <c r="H10" s="37"/>
      <c r="I10" s="51"/>
      <c r="J10" s="58" t="s">
        <v>50</v>
      </c>
      <c r="K10" s="58" t="s">
        <v>50</v>
      </c>
      <c r="L10" s="58" t="s">
        <v>50</v>
      </c>
      <c r="M10" s="58" t="s">
        <v>50</v>
      </c>
    </row>
    <row r="11">
      <c r="A11" s="31">
        <v>8.0</v>
      </c>
      <c r="B11" s="1" t="s">
        <v>79</v>
      </c>
      <c r="C11" s="37"/>
      <c r="D11" s="37"/>
      <c r="E11" s="42">
        <v>5000.0</v>
      </c>
      <c r="F11" s="1">
        <v>5000.0</v>
      </c>
      <c r="G11" s="46">
        <f t="shared" si="1"/>
        <v>0</v>
      </c>
      <c r="H11" s="37"/>
      <c r="I11" s="51"/>
      <c r="J11" s="58" t="s">
        <v>50</v>
      </c>
      <c r="K11" s="58" t="s">
        <v>50</v>
      </c>
      <c r="L11" s="58" t="s">
        <v>50</v>
      </c>
      <c r="M11" s="58" t="s">
        <v>50</v>
      </c>
    </row>
    <row r="12">
      <c r="A12" s="31">
        <v>9.0</v>
      </c>
      <c r="B12" s="1" t="s">
        <v>81</v>
      </c>
      <c r="C12" s="37"/>
      <c r="D12" s="37"/>
      <c r="E12" s="42">
        <v>5000.0</v>
      </c>
      <c r="F12" s="1">
        <v>5000.0</v>
      </c>
      <c r="G12" s="46">
        <f t="shared" si="1"/>
        <v>0</v>
      </c>
      <c r="H12" s="37"/>
      <c r="I12" s="51"/>
      <c r="J12" s="58" t="s">
        <v>57</v>
      </c>
      <c r="K12" s="58" t="s">
        <v>50</v>
      </c>
      <c r="L12" s="58" t="s">
        <v>57</v>
      </c>
      <c r="M12" s="58" t="s">
        <v>50</v>
      </c>
    </row>
    <row r="13">
      <c r="A13" s="31">
        <v>10.0</v>
      </c>
      <c r="B13" s="1" t="s">
        <v>85</v>
      </c>
      <c r="C13" s="37"/>
      <c r="D13" s="37"/>
      <c r="E13" s="42">
        <v>5000.0</v>
      </c>
      <c r="F13" s="1">
        <v>5000.0</v>
      </c>
      <c r="G13" s="46">
        <f t="shared" si="1"/>
        <v>0</v>
      </c>
      <c r="H13" s="37"/>
      <c r="I13" s="51"/>
      <c r="J13" s="58" t="s">
        <v>50</v>
      </c>
      <c r="K13" s="58" t="s">
        <v>50</v>
      </c>
      <c r="L13" s="58" t="s">
        <v>50</v>
      </c>
      <c r="M13" s="58" t="s">
        <v>50</v>
      </c>
    </row>
    <row r="14">
      <c r="A14" s="31">
        <v>11.0</v>
      </c>
      <c r="B14" s="1" t="s">
        <v>87</v>
      </c>
      <c r="C14" s="37"/>
      <c r="D14" s="37"/>
      <c r="E14" s="42">
        <v>5000.0</v>
      </c>
      <c r="F14" s="1">
        <v>5000.0</v>
      </c>
      <c r="G14" s="46">
        <f t="shared" si="1"/>
        <v>0</v>
      </c>
      <c r="H14" s="37"/>
      <c r="I14" s="51"/>
      <c r="J14" s="58" t="s">
        <v>50</v>
      </c>
      <c r="K14" s="58" t="s">
        <v>57</v>
      </c>
      <c r="L14" s="58" t="s">
        <v>57</v>
      </c>
      <c r="M14" s="58" t="s">
        <v>50</v>
      </c>
    </row>
    <row r="15">
      <c r="A15" s="31">
        <v>12.0</v>
      </c>
      <c r="B15" s="1" t="s">
        <v>90</v>
      </c>
      <c r="C15" s="37"/>
      <c r="D15" s="37"/>
      <c r="E15" s="42">
        <v>5000.0</v>
      </c>
      <c r="F15" s="1">
        <v>5000.0</v>
      </c>
      <c r="G15" s="46">
        <f t="shared" si="1"/>
        <v>0</v>
      </c>
      <c r="H15" s="37"/>
      <c r="I15" s="51"/>
      <c r="J15" s="58" t="s">
        <v>91</v>
      </c>
      <c r="K15" s="58" t="s">
        <v>91</v>
      </c>
      <c r="L15" s="58" t="s">
        <v>91</v>
      </c>
      <c r="M15" s="58" t="s">
        <v>91</v>
      </c>
    </row>
    <row r="16">
      <c r="A16" s="31">
        <v>13.0</v>
      </c>
      <c r="B16" s="1" t="s">
        <v>92</v>
      </c>
      <c r="C16" s="37"/>
      <c r="D16" s="37"/>
      <c r="E16" s="42">
        <v>5000.0</v>
      </c>
      <c r="F16" s="1">
        <v>5000.0</v>
      </c>
      <c r="G16" s="46">
        <f t="shared" si="1"/>
        <v>0</v>
      </c>
      <c r="H16" s="37"/>
      <c r="I16" s="51"/>
      <c r="J16" s="58" t="s">
        <v>50</v>
      </c>
      <c r="K16" s="58" t="s">
        <v>57</v>
      </c>
      <c r="L16" s="58" t="s">
        <v>50</v>
      </c>
      <c r="M16" s="58" t="s">
        <v>50</v>
      </c>
    </row>
    <row r="17">
      <c r="A17" s="31">
        <v>14.0</v>
      </c>
      <c r="B17" s="55" t="s">
        <v>93</v>
      </c>
      <c r="C17" s="37"/>
      <c r="D17" s="37"/>
      <c r="E17" s="42">
        <v>5000.0</v>
      </c>
      <c r="F17" s="1">
        <v>2000.0</v>
      </c>
      <c r="G17" s="46">
        <f t="shared" si="1"/>
        <v>3000</v>
      </c>
      <c r="H17" s="37"/>
      <c r="I17" s="51"/>
      <c r="J17" s="58" t="s">
        <v>50</v>
      </c>
      <c r="K17" s="58" t="s">
        <v>50</v>
      </c>
      <c r="L17" s="58" t="s">
        <v>57</v>
      </c>
      <c r="M17" s="58" t="s">
        <v>50</v>
      </c>
    </row>
    <row r="18">
      <c r="A18" s="31">
        <v>15.0</v>
      </c>
      <c r="B18" s="37"/>
      <c r="C18" s="37"/>
      <c r="D18" s="37"/>
      <c r="E18" s="42"/>
      <c r="F18" s="37"/>
      <c r="G18" s="46">
        <f t="shared" si="1"/>
        <v>0</v>
      </c>
      <c r="H18" s="37"/>
      <c r="I18" s="29"/>
      <c r="M18" s="55"/>
    </row>
    <row r="19">
      <c r="A19" s="31">
        <v>16.0</v>
      </c>
      <c r="B19" s="37"/>
      <c r="C19" s="37"/>
      <c r="D19" s="37"/>
      <c r="E19" s="42"/>
      <c r="F19" s="37"/>
      <c r="G19" s="46">
        <f t="shared" si="1"/>
        <v>0</v>
      </c>
      <c r="H19" s="37"/>
      <c r="I19" s="29"/>
      <c r="M19" s="55"/>
    </row>
    <row r="20">
      <c r="A20" s="31">
        <v>17.0</v>
      </c>
      <c r="B20" s="37"/>
      <c r="C20" s="37"/>
      <c r="D20" s="37"/>
      <c r="E20" s="42"/>
      <c r="F20" s="37"/>
      <c r="G20" s="46">
        <f t="shared" si="1"/>
        <v>0</v>
      </c>
      <c r="H20" s="37"/>
      <c r="I20" s="29"/>
      <c r="M20" s="55"/>
    </row>
    <row r="21">
      <c r="A21" s="31">
        <v>18.0</v>
      </c>
      <c r="B21" s="37"/>
      <c r="C21" s="37"/>
      <c r="D21" s="37"/>
      <c r="E21" s="42"/>
      <c r="F21" s="37"/>
      <c r="G21" s="46">
        <f t="shared" si="1"/>
        <v>0</v>
      </c>
      <c r="H21" s="37"/>
      <c r="I21" s="29"/>
      <c r="M21" s="55"/>
    </row>
    <row r="22">
      <c r="A22" s="31">
        <v>19.0</v>
      </c>
      <c r="B22" s="37"/>
      <c r="C22" s="37"/>
      <c r="D22" s="37"/>
      <c r="E22" s="42"/>
      <c r="F22" s="37"/>
      <c r="G22" s="46">
        <f t="shared" si="1"/>
        <v>0</v>
      </c>
      <c r="H22" s="37"/>
      <c r="I22" s="29"/>
      <c r="M22" s="55"/>
    </row>
    <row r="23">
      <c r="A23" s="31">
        <v>20.0</v>
      </c>
      <c r="B23" s="37"/>
      <c r="C23" s="37"/>
      <c r="D23" s="37"/>
      <c r="E23" s="42">
        <v>0.0</v>
      </c>
      <c r="F23" s="37"/>
      <c r="G23" s="46">
        <f t="shared" si="1"/>
        <v>0</v>
      </c>
      <c r="H23" s="37"/>
      <c r="I23" s="29"/>
      <c r="M23" s="55"/>
    </row>
    <row r="24">
      <c r="A24" s="31">
        <v>21.0</v>
      </c>
      <c r="B24" s="37"/>
      <c r="C24" s="37"/>
      <c r="D24" s="37"/>
      <c r="E24" s="42">
        <v>0.0</v>
      </c>
      <c r="F24" s="37"/>
      <c r="G24" s="46">
        <f t="shared" si="1"/>
        <v>0</v>
      </c>
      <c r="H24" s="37"/>
      <c r="I24" s="29"/>
      <c r="M24" s="55"/>
    </row>
    <row r="25">
      <c r="A25" s="31">
        <v>22.0</v>
      </c>
      <c r="B25" s="37"/>
      <c r="C25" s="37"/>
      <c r="D25" s="37"/>
      <c r="E25" s="42">
        <v>0.0</v>
      </c>
      <c r="F25" s="37"/>
      <c r="G25" s="46">
        <f t="shared" si="1"/>
        <v>0</v>
      </c>
      <c r="H25" s="37"/>
      <c r="I25" s="29"/>
      <c r="M25" s="55"/>
    </row>
    <row r="26">
      <c r="A26" s="31">
        <v>23.0</v>
      </c>
      <c r="B26" s="37"/>
      <c r="C26" s="37"/>
      <c r="D26" s="37"/>
      <c r="E26" s="42">
        <v>0.0</v>
      </c>
      <c r="F26" s="37"/>
      <c r="G26" s="46">
        <f t="shared" si="1"/>
        <v>0</v>
      </c>
      <c r="H26" s="37"/>
      <c r="I26" s="29"/>
      <c r="M26" s="55"/>
    </row>
    <row r="27">
      <c r="A27" s="31">
        <v>24.0</v>
      </c>
      <c r="B27" s="37"/>
      <c r="C27" s="37"/>
      <c r="D27" s="37"/>
      <c r="E27" s="42">
        <v>0.0</v>
      </c>
      <c r="F27" s="37"/>
      <c r="G27" s="46">
        <f t="shared" si="1"/>
        <v>0</v>
      </c>
      <c r="H27" s="37"/>
      <c r="I27" s="29"/>
      <c r="M27" s="55"/>
    </row>
    <row r="28">
      <c r="A28" s="31">
        <v>25.0</v>
      </c>
      <c r="B28" s="37"/>
      <c r="C28" s="37"/>
      <c r="D28" s="37"/>
      <c r="E28" s="42">
        <v>0.0</v>
      </c>
      <c r="F28" s="37"/>
      <c r="G28" s="46">
        <f t="shared" si="1"/>
        <v>0</v>
      </c>
      <c r="H28" s="37"/>
      <c r="I28" s="29"/>
      <c r="M28" s="55"/>
    </row>
    <row r="29">
      <c r="A29" s="31">
        <v>26.0</v>
      </c>
      <c r="B29" s="37"/>
      <c r="C29" s="37"/>
      <c r="D29" s="37"/>
      <c r="E29" s="42">
        <v>0.0</v>
      </c>
      <c r="F29" s="37"/>
      <c r="G29" s="46">
        <f t="shared" si="1"/>
        <v>0</v>
      </c>
      <c r="H29" s="37"/>
      <c r="I29" s="29"/>
      <c r="M29" s="55"/>
    </row>
    <row r="30">
      <c r="A30" s="31">
        <v>27.0</v>
      </c>
      <c r="B30" s="37"/>
      <c r="C30" s="37"/>
      <c r="D30" s="37"/>
      <c r="E30" s="42">
        <v>0.0</v>
      </c>
      <c r="F30" s="37"/>
      <c r="G30" s="46">
        <f t="shared" si="1"/>
        <v>0</v>
      </c>
      <c r="H30" s="37"/>
      <c r="I30" s="29"/>
      <c r="M30" s="55"/>
    </row>
    <row r="31">
      <c r="A31" s="31">
        <v>28.0</v>
      </c>
      <c r="B31" s="37"/>
      <c r="C31" s="37"/>
      <c r="D31" s="37"/>
      <c r="E31" s="42">
        <v>0.0</v>
      </c>
      <c r="F31" s="37"/>
      <c r="G31" s="46">
        <f t="shared" si="1"/>
        <v>0</v>
      </c>
      <c r="H31" s="37"/>
      <c r="I31" s="29"/>
      <c r="M31" s="55"/>
    </row>
    <row r="32">
      <c r="A32" s="31">
        <v>29.0</v>
      </c>
      <c r="B32" s="37"/>
      <c r="C32" s="37"/>
      <c r="D32" s="37"/>
      <c r="E32" s="42">
        <v>0.0</v>
      </c>
      <c r="F32" s="37"/>
      <c r="G32" s="46">
        <f t="shared" si="1"/>
        <v>0</v>
      </c>
      <c r="H32" s="37"/>
      <c r="I32" s="29"/>
    </row>
    <row r="33">
      <c r="A33" s="31">
        <v>30.0</v>
      </c>
      <c r="B33" s="37"/>
      <c r="C33" s="37"/>
      <c r="D33" s="37"/>
      <c r="E33" s="42">
        <v>0.0</v>
      </c>
      <c r="F33" s="37"/>
      <c r="G33" s="46">
        <f t="shared" si="1"/>
        <v>0</v>
      </c>
      <c r="H33" s="37"/>
      <c r="I33" s="29"/>
    </row>
    <row r="34">
      <c r="A34" s="31">
        <v>31.0</v>
      </c>
      <c r="B34" s="37"/>
      <c r="C34" s="37"/>
      <c r="D34" s="37"/>
      <c r="E34" s="42">
        <v>0.0</v>
      </c>
      <c r="F34" s="37"/>
      <c r="G34" s="46">
        <f t="shared" si="1"/>
        <v>0</v>
      </c>
      <c r="H34" s="37"/>
      <c r="I34" s="29"/>
    </row>
    <row r="35">
      <c r="A35" s="31">
        <v>32.0</v>
      </c>
      <c r="B35" s="37"/>
      <c r="C35" s="37"/>
      <c r="D35" s="37"/>
      <c r="E35" s="42">
        <v>0.0</v>
      </c>
      <c r="F35" s="37"/>
      <c r="G35" s="46">
        <f t="shared" si="1"/>
        <v>0</v>
      </c>
      <c r="H35" s="37"/>
      <c r="I35" s="29"/>
    </row>
    <row r="36">
      <c r="A36" s="31">
        <v>33.0</v>
      </c>
      <c r="B36" s="37"/>
      <c r="C36" s="37"/>
      <c r="D36" s="37"/>
      <c r="E36" s="42">
        <v>0.0</v>
      </c>
      <c r="F36" s="37"/>
      <c r="G36" s="46">
        <f t="shared" si="1"/>
        <v>0</v>
      </c>
      <c r="H36" s="37"/>
      <c r="I36" s="29"/>
    </row>
    <row r="37">
      <c r="A37" s="31">
        <v>34.0</v>
      </c>
      <c r="B37" s="37"/>
      <c r="C37" s="37"/>
      <c r="D37" s="37"/>
      <c r="E37" s="42">
        <v>0.0</v>
      </c>
      <c r="F37" s="37"/>
      <c r="G37" s="46">
        <f t="shared" si="1"/>
        <v>0</v>
      </c>
      <c r="H37" s="37"/>
      <c r="I37" s="29"/>
    </row>
    <row r="38">
      <c r="A38" s="31">
        <v>35.0</v>
      </c>
      <c r="B38" s="37"/>
      <c r="C38" s="37"/>
      <c r="D38" s="37"/>
      <c r="E38" s="42">
        <v>0.0</v>
      </c>
      <c r="F38" s="37"/>
      <c r="G38" s="46">
        <f t="shared" si="1"/>
        <v>0</v>
      </c>
      <c r="H38" s="37"/>
      <c r="I38" s="29"/>
    </row>
    <row r="39">
      <c r="A39" s="31">
        <v>36.0</v>
      </c>
      <c r="B39" s="37"/>
      <c r="C39" s="37"/>
      <c r="D39" s="37"/>
      <c r="E39" s="42">
        <v>0.0</v>
      </c>
      <c r="F39" s="37"/>
      <c r="G39" s="46">
        <f t="shared" si="1"/>
        <v>0</v>
      </c>
      <c r="H39" s="37"/>
      <c r="I39" s="29"/>
    </row>
    <row r="40">
      <c r="A40" s="31">
        <v>37.0</v>
      </c>
      <c r="B40" s="37"/>
      <c r="C40" s="37"/>
      <c r="D40" s="37"/>
      <c r="E40" s="42">
        <v>0.0</v>
      </c>
      <c r="F40" s="37"/>
      <c r="G40" s="46">
        <f t="shared" si="1"/>
        <v>0</v>
      </c>
      <c r="H40" s="37"/>
      <c r="I40" s="29"/>
    </row>
    <row r="41">
      <c r="A41" s="1" t="s">
        <v>28</v>
      </c>
      <c r="B41" s="40">
        <f>countif(B4:B40,"*")</f>
        <v>14</v>
      </c>
      <c r="C41" s="37"/>
      <c r="D41" s="37"/>
      <c r="E41" s="42">
        <v>0.0</v>
      </c>
      <c r="F41" s="37"/>
      <c r="G41" s="37"/>
      <c r="H41" s="37"/>
      <c r="I41" s="37"/>
    </row>
  </sheetData>
  <mergeCells count="12">
    <mergeCell ref="I1:I2"/>
    <mergeCell ref="J2:J3"/>
    <mergeCell ref="K2:K3"/>
    <mergeCell ref="L2:L3"/>
    <mergeCell ref="A1:H1"/>
    <mergeCell ref="J1:M1"/>
    <mergeCell ref="A2:A3"/>
    <mergeCell ref="B2:B3"/>
    <mergeCell ref="C2:C3"/>
    <mergeCell ref="D2:D3"/>
    <mergeCell ref="E2:H2"/>
    <mergeCell ref="M2:M3"/>
  </mergeCells>
  <dataValidations>
    <dataValidation type="list" allowBlank="1" sqref="D4:D40">
      <formula1>Data!$A$2:$A$12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4.25"/>
    <col customWidth="1" min="3" max="3" width="6.0"/>
    <col customWidth="1" min="4" max="4" width="4.25"/>
    <col customWidth="1" min="5" max="5" width="9.88"/>
    <col customWidth="1" min="6" max="6" width="5.38"/>
    <col customWidth="1" min="7" max="7" width="7.88"/>
    <col customWidth="1" min="8" max="8" width="6.5"/>
    <col customWidth="1" min="9" max="9" width="8.63"/>
    <col customWidth="1" min="10" max="13" width="6.38"/>
  </cols>
  <sheetData>
    <row r="1">
      <c r="A1" s="3" t="s">
        <v>100</v>
      </c>
      <c r="B1" s="5"/>
      <c r="C1" s="5"/>
      <c r="D1" s="5"/>
      <c r="E1" s="5"/>
      <c r="F1" s="5"/>
      <c r="G1" s="5"/>
      <c r="H1" s="6"/>
      <c r="I1" s="8" t="s">
        <v>17</v>
      </c>
      <c r="J1" s="10" t="s">
        <v>18</v>
      </c>
      <c r="K1" s="11"/>
      <c r="L1" s="11"/>
      <c r="M1" s="12"/>
    </row>
    <row r="2">
      <c r="A2" s="14" t="s">
        <v>21</v>
      </c>
      <c r="B2" s="14" t="s">
        <v>22</v>
      </c>
      <c r="C2" s="14" t="s">
        <v>24</v>
      </c>
      <c r="D2" s="14" t="s">
        <v>0</v>
      </c>
      <c r="E2" s="18" t="s">
        <v>26</v>
      </c>
      <c r="F2" s="5"/>
      <c r="G2" s="5"/>
      <c r="H2" s="6"/>
      <c r="I2" s="15"/>
      <c r="J2" s="21" t="s">
        <v>29</v>
      </c>
      <c r="K2" s="21" t="s">
        <v>30</v>
      </c>
      <c r="L2" s="21" t="s">
        <v>31</v>
      </c>
      <c r="M2" s="21" t="s">
        <v>32</v>
      </c>
    </row>
    <row r="3">
      <c r="A3" s="15"/>
      <c r="B3" s="15"/>
      <c r="C3" s="15"/>
      <c r="D3" s="15"/>
      <c r="E3" s="25" t="s">
        <v>34</v>
      </c>
      <c r="F3" s="25" t="s">
        <v>35</v>
      </c>
      <c r="G3" s="25" t="s">
        <v>36</v>
      </c>
      <c r="H3" s="25" t="s">
        <v>37</v>
      </c>
      <c r="I3" s="29"/>
      <c r="J3" s="15"/>
      <c r="K3" s="15"/>
      <c r="L3" s="15"/>
      <c r="M3" s="15"/>
    </row>
    <row r="4">
      <c r="A4" s="31">
        <v>1.0</v>
      </c>
      <c r="B4" s="1" t="s">
        <v>102</v>
      </c>
      <c r="C4" s="37"/>
      <c r="D4" s="37"/>
      <c r="E4" s="42">
        <v>5650.0</v>
      </c>
      <c r="F4" s="1">
        <v>5650.0</v>
      </c>
      <c r="G4" s="46">
        <f t="shared" ref="G4:G33" si="1">E4-F4</f>
        <v>0</v>
      </c>
      <c r="H4" s="1"/>
      <c r="I4" s="48" t="s">
        <v>103</v>
      </c>
      <c r="J4" s="1" t="s">
        <v>50</v>
      </c>
      <c r="K4" s="1" t="s">
        <v>50</v>
      </c>
      <c r="L4" s="1" t="s">
        <v>50</v>
      </c>
      <c r="M4" s="37"/>
    </row>
    <row r="5">
      <c r="A5" s="31">
        <v>2.0</v>
      </c>
      <c r="B5" s="80" t="s">
        <v>104</v>
      </c>
      <c r="C5" s="37"/>
      <c r="D5" s="37"/>
      <c r="E5" s="42">
        <v>5650.0</v>
      </c>
      <c r="F5" s="1">
        <v>5650.0</v>
      </c>
      <c r="G5" s="46">
        <f t="shared" si="1"/>
        <v>0</v>
      </c>
      <c r="H5" s="37"/>
      <c r="I5" s="48" t="s">
        <v>45</v>
      </c>
      <c r="J5" s="1" t="s">
        <v>106</v>
      </c>
      <c r="K5" s="1" t="s">
        <v>50</v>
      </c>
      <c r="L5" s="1" t="s">
        <v>50</v>
      </c>
      <c r="M5" s="37"/>
    </row>
    <row r="6">
      <c r="A6" s="31">
        <v>3.0</v>
      </c>
      <c r="B6" s="32" t="s">
        <v>48</v>
      </c>
      <c r="C6" s="34"/>
      <c r="D6" s="1"/>
      <c r="E6" s="42">
        <v>5650.0</v>
      </c>
      <c r="F6" s="1"/>
      <c r="G6" s="46">
        <f t="shared" si="1"/>
        <v>5650</v>
      </c>
      <c r="H6" s="1"/>
      <c r="I6" s="48"/>
      <c r="J6" s="1" t="s">
        <v>50</v>
      </c>
      <c r="K6" s="1" t="s">
        <v>50</v>
      </c>
      <c r="L6" s="1" t="s">
        <v>50</v>
      </c>
      <c r="M6" s="37"/>
    </row>
    <row r="7">
      <c r="A7" s="31">
        <v>4.0</v>
      </c>
      <c r="B7" s="1" t="s">
        <v>62</v>
      </c>
      <c r="C7" s="37"/>
      <c r="D7" s="1"/>
      <c r="E7" s="42">
        <v>5650.0</v>
      </c>
      <c r="F7" s="1"/>
      <c r="G7" s="46">
        <f t="shared" si="1"/>
        <v>5650</v>
      </c>
      <c r="H7" s="1"/>
      <c r="I7" s="48"/>
      <c r="J7" s="1" t="s">
        <v>50</v>
      </c>
      <c r="K7" s="1" t="s">
        <v>50</v>
      </c>
      <c r="L7" s="1" t="s">
        <v>112</v>
      </c>
      <c r="M7" s="37"/>
    </row>
    <row r="8">
      <c r="A8" s="31">
        <v>5.0</v>
      </c>
      <c r="B8" s="1" t="s">
        <v>66</v>
      </c>
      <c r="C8" s="37"/>
      <c r="D8" s="1"/>
      <c r="E8" s="42">
        <v>5650.0</v>
      </c>
      <c r="F8" s="1">
        <v>5600.0</v>
      </c>
      <c r="G8" s="46">
        <f t="shared" si="1"/>
        <v>50</v>
      </c>
      <c r="H8" s="1"/>
      <c r="I8" s="48" t="s">
        <v>41</v>
      </c>
      <c r="J8" s="1" t="s">
        <v>50</v>
      </c>
      <c r="K8" s="1" t="s">
        <v>50</v>
      </c>
      <c r="L8" s="1" t="s">
        <v>50</v>
      </c>
      <c r="M8" s="37"/>
    </row>
    <row r="9">
      <c r="A9" s="31">
        <v>6.0</v>
      </c>
      <c r="B9" s="1" t="s">
        <v>68</v>
      </c>
      <c r="C9" s="37"/>
      <c r="D9" s="1"/>
      <c r="E9" s="42">
        <v>5650.0</v>
      </c>
      <c r="F9" s="1">
        <v>5600.0</v>
      </c>
      <c r="G9" s="46">
        <f t="shared" si="1"/>
        <v>50</v>
      </c>
      <c r="H9" s="1"/>
      <c r="I9" s="48" t="s">
        <v>41</v>
      </c>
      <c r="J9" s="1" t="s">
        <v>116</v>
      </c>
      <c r="K9" s="1" t="s">
        <v>50</v>
      </c>
      <c r="L9" s="1" t="s">
        <v>50</v>
      </c>
      <c r="M9" s="37"/>
    </row>
    <row r="10">
      <c r="A10" s="31">
        <v>7.0</v>
      </c>
      <c r="B10" s="1" t="s">
        <v>74</v>
      </c>
      <c r="C10" s="37"/>
      <c r="D10" s="1"/>
      <c r="E10" s="42">
        <v>5650.0</v>
      </c>
      <c r="F10" s="1">
        <v>5600.0</v>
      </c>
      <c r="G10" s="46">
        <f t="shared" si="1"/>
        <v>50</v>
      </c>
      <c r="H10" s="1"/>
      <c r="I10" s="48" t="s">
        <v>41</v>
      </c>
      <c r="J10" s="1" t="s">
        <v>50</v>
      </c>
      <c r="K10" s="1" t="s">
        <v>50</v>
      </c>
      <c r="L10" s="1" t="s">
        <v>50</v>
      </c>
      <c r="M10" s="37"/>
    </row>
    <row r="11">
      <c r="A11" s="31">
        <v>8.0</v>
      </c>
      <c r="B11" s="1" t="s">
        <v>76</v>
      </c>
      <c r="C11" s="37"/>
      <c r="D11" s="37"/>
      <c r="E11" s="42">
        <v>5650.0</v>
      </c>
      <c r="F11" s="1">
        <v>5650.0</v>
      </c>
      <c r="G11" s="46">
        <f t="shared" si="1"/>
        <v>0</v>
      </c>
      <c r="H11" s="37"/>
      <c r="I11" s="48" t="s">
        <v>41</v>
      </c>
      <c r="J11" s="1" t="s">
        <v>50</v>
      </c>
      <c r="K11" s="1" t="s">
        <v>50</v>
      </c>
      <c r="L11" s="1" t="s">
        <v>50</v>
      </c>
      <c r="M11" s="37"/>
    </row>
    <row r="12">
      <c r="A12" s="31">
        <v>9.0</v>
      </c>
      <c r="B12" s="1" t="s">
        <v>79</v>
      </c>
      <c r="C12" s="37"/>
      <c r="D12" s="37"/>
      <c r="E12" s="42">
        <v>5650.0</v>
      </c>
      <c r="F12" s="1">
        <v>4700.0</v>
      </c>
      <c r="G12" s="46">
        <f t="shared" si="1"/>
        <v>950</v>
      </c>
      <c r="H12" s="1"/>
      <c r="I12" s="48" t="s">
        <v>41</v>
      </c>
      <c r="J12" s="1" t="s">
        <v>112</v>
      </c>
      <c r="K12" s="1" t="s">
        <v>50</v>
      </c>
      <c r="L12" s="1" t="s">
        <v>50</v>
      </c>
      <c r="M12" s="37"/>
    </row>
    <row r="13">
      <c r="A13" s="31">
        <v>10.0</v>
      </c>
      <c r="B13" s="1" t="s">
        <v>81</v>
      </c>
      <c r="C13" s="37"/>
      <c r="D13" s="37"/>
      <c r="E13" s="42">
        <v>5650.0</v>
      </c>
      <c r="F13" s="1">
        <v>5650.0</v>
      </c>
      <c r="G13" s="46">
        <f t="shared" si="1"/>
        <v>0</v>
      </c>
      <c r="H13" s="37"/>
      <c r="I13" s="48" t="s">
        <v>45</v>
      </c>
      <c r="J13" s="1" t="s">
        <v>50</v>
      </c>
      <c r="K13" s="1" t="s">
        <v>50</v>
      </c>
      <c r="L13" s="1" t="s">
        <v>50</v>
      </c>
      <c r="M13" s="37"/>
    </row>
    <row r="14">
      <c r="A14" s="31">
        <v>11.0</v>
      </c>
      <c r="B14" s="1" t="s">
        <v>85</v>
      </c>
      <c r="C14" s="37"/>
      <c r="D14" s="37"/>
      <c r="E14" s="42">
        <v>5650.0</v>
      </c>
      <c r="F14" s="1">
        <v>5650.0</v>
      </c>
      <c r="G14" s="46">
        <f t="shared" si="1"/>
        <v>0</v>
      </c>
      <c r="H14" s="37"/>
      <c r="I14" s="48" t="s">
        <v>45</v>
      </c>
      <c r="J14" s="1" t="s">
        <v>50</v>
      </c>
      <c r="K14" s="1" t="s">
        <v>50</v>
      </c>
      <c r="L14" s="1" t="s">
        <v>50</v>
      </c>
      <c r="M14" s="37"/>
    </row>
    <row r="15">
      <c r="A15" s="31">
        <v>12.0</v>
      </c>
      <c r="B15" s="1" t="s">
        <v>87</v>
      </c>
      <c r="C15" s="37"/>
      <c r="D15" s="37"/>
      <c r="E15" s="42">
        <v>5650.0</v>
      </c>
      <c r="F15" s="1">
        <v>5650.0</v>
      </c>
      <c r="G15" s="46">
        <f t="shared" si="1"/>
        <v>0</v>
      </c>
      <c r="H15" s="37"/>
      <c r="I15" s="48" t="s">
        <v>45</v>
      </c>
      <c r="J15" s="1" t="s">
        <v>50</v>
      </c>
      <c r="K15" s="1" t="s">
        <v>50</v>
      </c>
      <c r="L15" s="1" t="s">
        <v>50</v>
      </c>
      <c r="M15" s="37"/>
    </row>
    <row r="16">
      <c r="A16" s="31">
        <v>13.0</v>
      </c>
      <c r="B16" s="1" t="s">
        <v>92</v>
      </c>
      <c r="C16" s="37"/>
      <c r="D16" s="37"/>
      <c r="E16" s="42">
        <v>5650.0</v>
      </c>
      <c r="F16" s="1">
        <v>5650.0</v>
      </c>
      <c r="G16" s="46">
        <f t="shared" si="1"/>
        <v>0</v>
      </c>
      <c r="H16" s="37"/>
      <c r="I16" s="48" t="s">
        <v>45</v>
      </c>
      <c r="J16" s="1" t="s">
        <v>50</v>
      </c>
      <c r="K16" s="1" t="s">
        <v>50</v>
      </c>
      <c r="L16" s="1" t="s">
        <v>50</v>
      </c>
      <c r="M16" s="37"/>
    </row>
    <row r="17">
      <c r="A17" s="31">
        <v>14.0</v>
      </c>
      <c r="B17" s="80" t="s">
        <v>129</v>
      </c>
      <c r="C17" s="37"/>
      <c r="D17" s="37"/>
      <c r="E17" s="42">
        <v>5650.0</v>
      </c>
      <c r="F17" s="1">
        <v>5650.0</v>
      </c>
      <c r="G17" s="46">
        <f t="shared" si="1"/>
        <v>0</v>
      </c>
      <c r="H17" s="37"/>
      <c r="I17" s="48" t="s">
        <v>45</v>
      </c>
      <c r="J17" s="1" t="s">
        <v>50</v>
      </c>
      <c r="K17" s="1" t="s">
        <v>50</v>
      </c>
      <c r="L17" s="1" t="s">
        <v>50</v>
      </c>
      <c r="M17" s="37"/>
    </row>
    <row r="18">
      <c r="A18" s="31">
        <v>15.0</v>
      </c>
      <c r="B18" s="80" t="s">
        <v>130</v>
      </c>
      <c r="C18" s="37"/>
      <c r="D18" s="37"/>
      <c r="E18" s="42">
        <v>5650.0</v>
      </c>
      <c r="F18" s="1">
        <v>3250.0</v>
      </c>
      <c r="G18" s="46">
        <f t="shared" si="1"/>
        <v>2400</v>
      </c>
      <c r="H18" s="1" t="s">
        <v>131</v>
      </c>
      <c r="I18" s="48" t="s">
        <v>45</v>
      </c>
      <c r="J18" s="1" t="s">
        <v>50</v>
      </c>
      <c r="K18" s="1" t="s">
        <v>50</v>
      </c>
      <c r="L18" s="1" t="s">
        <v>50</v>
      </c>
      <c r="M18" s="37"/>
    </row>
    <row r="19">
      <c r="A19" s="31">
        <v>16.0</v>
      </c>
      <c r="B19" s="80" t="s">
        <v>132</v>
      </c>
      <c r="C19" s="37"/>
      <c r="D19" s="37"/>
      <c r="E19" s="42">
        <v>5650.0</v>
      </c>
      <c r="F19" s="1"/>
      <c r="G19" s="46">
        <f t="shared" si="1"/>
        <v>5650</v>
      </c>
      <c r="H19" s="1"/>
      <c r="I19" s="48" t="s">
        <v>45</v>
      </c>
      <c r="J19" s="1" t="s">
        <v>50</v>
      </c>
      <c r="K19" s="1" t="s">
        <v>50</v>
      </c>
      <c r="L19" s="1" t="s">
        <v>50</v>
      </c>
      <c r="M19" s="37"/>
    </row>
    <row r="20">
      <c r="A20" s="31">
        <v>17.0</v>
      </c>
      <c r="B20" s="80" t="s">
        <v>133</v>
      </c>
      <c r="C20" s="37"/>
      <c r="D20" s="37"/>
      <c r="E20" s="42">
        <v>5650.0</v>
      </c>
      <c r="F20" s="1">
        <v>5650.0</v>
      </c>
      <c r="G20" s="46">
        <f t="shared" si="1"/>
        <v>0</v>
      </c>
      <c r="H20" s="1"/>
      <c r="I20" s="29"/>
      <c r="J20" s="1" t="s">
        <v>50</v>
      </c>
      <c r="K20" s="1" t="s">
        <v>50</v>
      </c>
      <c r="L20" s="1" t="s">
        <v>50</v>
      </c>
      <c r="M20" s="37"/>
    </row>
    <row r="21">
      <c r="A21" s="31">
        <v>18.0</v>
      </c>
      <c r="B21" s="80" t="s">
        <v>134</v>
      </c>
      <c r="C21" s="37"/>
      <c r="D21" s="37"/>
      <c r="E21" s="42">
        <v>5650.0</v>
      </c>
      <c r="F21" s="1">
        <v>5650.0</v>
      </c>
      <c r="G21" s="46">
        <f t="shared" si="1"/>
        <v>0</v>
      </c>
      <c r="H21" s="1"/>
      <c r="I21" s="48" t="s">
        <v>45</v>
      </c>
      <c r="J21" s="1" t="s">
        <v>50</v>
      </c>
      <c r="K21" s="1" t="s">
        <v>50</v>
      </c>
      <c r="L21" s="1" t="s">
        <v>50</v>
      </c>
      <c r="M21" s="37"/>
    </row>
    <row r="22">
      <c r="A22" s="31">
        <v>19.0</v>
      </c>
      <c r="B22" s="80" t="s">
        <v>135</v>
      </c>
      <c r="C22" s="37"/>
      <c r="D22" s="37"/>
      <c r="E22" s="42">
        <v>3955.0</v>
      </c>
      <c r="F22" s="1">
        <v>3955.0</v>
      </c>
      <c r="G22" s="46">
        <f t="shared" si="1"/>
        <v>0</v>
      </c>
      <c r="H22" s="1" t="s">
        <v>136</v>
      </c>
      <c r="I22" s="48" t="s">
        <v>45</v>
      </c>
      <c r="J22" s="1" t="s">
        <v>50</v>
      </c>
      <c r="K22" s="1" t="s">
        <v>50</v>
      </c>
      <c r="L22" s="1" t="s">
        <v>50</v>
      </c>
      <c r="M22" s="37"/>
    </row>
    <row r="23">
      <c r="A23" s="31">
        <v>20.0</v>
      </c>
      <c r="B23" s="80" t="s">
        <v>137</v>
      </c>
      <c r="C23" s="37"/>
      <c r="D23" s="37"/>
      <c r="E23" s="42">
        <v>5650.0</v>
      </c>
      <c r="F23" s="1">
        <v>5650.0</v>
      </c>
      <c r="G23" s="46">
        <f t="shared" si="1"/>
        <v>0</v>
      </c>
      <c r="H23" s="1"/>
      <c r="I23" s="48" t="s">
        <v>45</v>
      </c>
      <c r="J23" s="1" t="s">
        <v>50</v>
      </c>
      <c r="K23" s="1" t="s">
        <v>50</v>
      </c>
      <c r="L23" s="1" t="s">
        <v>50</v>
      </c>
      <c r="M23" s="37"/>
    </row>
    <row r="24">
      <c r="A24" s="31"/>
      <c r="B24" s="80"/>
      <c r="C24" s="37"/>
      <c r="D24" s="37"/>
      <c r="E24" s="42">
        <v>0.0</v>
      </c>
      <c r="F24" s="37"/>
      <c r="G24" s="46">
        <f t="shared" si="1"/>
        <v>0</v>
      </c>
      <c r="H24" s="1"/>
      <c r="I24" s="29"/>
      <c r="J24" s="37"/>
      <c r="K24" s="37"/>
      <c r="L24" s="37"/>
      <c r="M24" s="37"/>
    </row>
    <row r="25">
      <c r="A25" s="31">
        <v>21.0</v>
      </c>
      <c r="B25" s="1" t="s">
        <v>138</v>
      </c>
      <c r="C25" s="37"/>
      <c r="D25" s="37"/>
      <c r="E25" s="42">
        <v>5650.0</v>
      </c>
      <c r="F25" s="1">
        <v>5650.0</v>
      </c>
      <c r="G25" s="46">
        <f t="shared" si="1"/>
        <v>0</v>
      </c>
      <c r="H25" s="1"/>
      <c r="I25" s="91" t="s">
        <v>91</v>
      </c>
      <c r="J25" s="37"/>
      <c r="K25" s="37"/>
      <c r="L25" s="1" t="s">
        <v>106</v>
      </c>
      <c r="M25" s="37"/>
    </row>
    <row r="26">
      <c r="A26" s="31">
        <v>22.0</v>
      </c>
      <c r="B26" s="1" t="s">
        <v>139</v>
      </c>
      <c r="C26" s="37"/>
      <c r="D26" s="37"/>
      <c r="E26" s="42">
        <v>5650.0</v>
      </c>
      <c r="F26" s="1">
        <v>2350.0</v>
      </c>
      <c r="G26" s="46">
        <f t="shared" si="1"/>
        <v>3300</v>
      </c>
      <c r="H26" s="1"/>
      <c r="I26" s="29"/>
      <c r="J26" s="37"/>
      <c r="K26" s="37"/>
      <c r="L26" s="1" t="s">
        <v>50</v>
      </c>
      <c r="M26" s="37"/>
    </row>
    <row r="27">
      <c r="A27" s="31"/>
      <c r="B27" s="37"/>
      <c r="C27" s="37"/>
      <c r="D27" s="37"/>
      <c r="E27" s="42">
        <v>0.0</v>
      </c>
      <c r="F27" s="37"/>
      <c r="G27" s="46">
        <f t="shared" si="1"/>
        <v>0</v>
      </c>
      <c r="H27" s="37"/>
      <c r="I27" s="51"/>
    </row>
    <row r="28">
      <c r="A28" s="31"/>
      <c r="B28" s="37"/>
      <c r="C28" s="37"/>
      <c r="D28" s="37"/>
      <c r="E28" s="42">
        <v>0.0</v>
      </c>
      <c r="F28" s="37"/>
      <c r="G28" s="46">
        <f t="shared" si="1"/>
        <v>0</v>
      </c>
      <c r="H28" s="37"/>
      <c r="I28" s="51"/>
    </row>
    <row r="29">
      <c r="A29" s="31"/>
      <c r="B29" s="37"/>
      <c r="C29" s="37"/>
      <c r="D29" s="37"/>
      <c r="E29" s="42">
        <v>0.0</v>
      </c>
      <c r="F29" s="37"/>
      <c r="G29" s="46">
        <f t="shared" si="1"/>
        <v>0</v>
      </c>
      <c r="H29" s="37"/>
      <c r="I29" s="29"/>
    </row>
    <row r="30">
      <c r="A30" s="31"/>
      <c r="B30" s="37"/>
      <c r="C30" s="37"/>
      <c r="D30" s="37"/>
      <c r="E30" s="42">
        <v>0.0</v>
      </c>
      <c r="F30" s="37"/>
      <c r="G30" s="46">
        <f t="shared" si="1"/>
        <v>0</v>
      </c>
      <c r="H30" s="37"/>
      <c r="I30" s="29"/>
    </row>
    <row r="31">
      <c r="A31" s="31"/>
      <c r="B31" s="37"/>
      <c r="C31" s="37"/>
      <c r="D31" s="37"/>
      <c r="E31" s="42">
        <v>0.0</v>
      </c>
      <c r="F31" s="37"/>
      <c r="G31" s="46">
        <f t="shared" si="1"/>
        <v>0</v>
      </c>
      <c r="H31" s="37"/>
      <c r="I31" s="29"/>
    </row>
    <row r="32">
      <c r="A32" s="31"/>
      <c r="B32" s="37"/>
      <c r="C32" s="37"/>
      <c r="D32" s="37"/>
      <c r="E32" s="42">
        <v>0.0</v>
      </c>
      <c r="F32" s="37"/>
      <c r="G32" s="46">
        <f t="shared" si="1"/>
        <v>0</v>
      </c>
      <c r="H32" s="37"/>
      <c r="I32" s="29"/>
    </row>
    <row r="33">
      <c r="A33" s="31"/>
      <c r="B33" s="37"/>
      <c r="C33" s="37"/>
      <c r="D33" s="37"/>
      <c r="E33" s="92">
        <v>0.0</v>
      </c>
      <c r="F33" s="37"/>
      <c r="G33" s="46">
        <f t="shared" si="1"/>
        <v>0</v>
      </c>
      <c r="H33" s="37"/>
      <c r="I33" s="29"/>
    </row>
    <row r="34">
      <c r="A34" s="1" t="s">
        <v>28</v>
      </c>
      <c r="B34" s="40">
        <f>countif(B6:B33,"*")</f>
        <v>20</v>
      </c>
      <c r="C34" s="37"/>
      <c r="D34" s="93"/>
      <c r="E34" s="73"/>
      <c r="F34" s="94"/>
      <c r="G34" s="37"/>
      <c r="H34" s="37"/>
      <c r="I34" s="37"/>
    </row>
    <row r="35">
      <c r="E35" s="73"/>
    </row>
    <row r="36">
      <c r="E36" s="73"/>
    </row>
    <row r="37">
      <c r="E37" s="73"/>
    </row>
    <row r="38">
      <c r="E38" s="73"/>
    </row>
    <row r="39">
      <c r="E39" s="73"/>
    </row>
    <row r="40">
      <c r="E40" s="73"/>
    </row>
    <row r="41">
      <c r="E41" s="73"/>
    </row>
  </sheetData>
  <mergeCells count="12">
    <mergeCell ref="I1:I2"/>
    <mergeCell ref="J2:J3"/>
    <mergeCell ref="K2:K3"/>
    <mergeCell ref="L2:L3"/>
    <mergeCell ref="A1:H1"/>
    <mergeCell ref="J1:M1"/>
    <mergeCell ref="A2:A3"/>
    <mergeCell ref="B2:B3"/>
    <mergeCell ref="C2:C3"/>
    <mergeCell ref="D2:D3"/>
    <mergeCell ref="E2:H2"/>
    <mergeCell ref="M2:M3"/>
  </mergeCells>
  <dataValidations>
    <dataValidation type="list" allowBlank="1" sqref="D4:D33">
      <formula1>Data!$A$2:$A$12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25"/>
    <col customWidth="1" min="3" max="3" width="14.13"/>
    <col customWidth="1" min="4" max="4" width="13.5"/>
    <col customWidth="1" min="5" max="5" width="12.0"/>
    <col customWidth="1" min="6" max="6" width="6.75"/>
    <col customWidth="1" min="7" max="7" width="11.63"/>
    <col customWidth="1" min="8" max="8" width="26.13"/>
    <col customWidth="1" min="9" max="9" width="12.25"/>
    <col customWidth="1" min="10" max="13" width="6.38"/>
  </cols>
  <sheetData>
    <row r="1">
      <c r="A1" s="75" t="s">
        <v>101</v>
      </c>
      <c r="B1" s="5"/>
      <c r="C1" s="5"/>
      <c r="D1" s="5"/>
      <c r="E1" s="5"/>
      <c r="F1" s="5"/>
      <c r="G1" s="5"/>
      <c r="H1" s="6"/>
      <c r="I1" s="8" t="s">
        <v>17</v>
      </c>
      <c r="J1" s="76" t="s">
        <v>18</v>
      </c>
      <c r="K1" s="5"/>
      <c r="L1" s="5"/>
      <c r="M1" s="6"/>
    </row>
    <row r="2">
      <c r="A2" s="14" t="s">
        <v>21</v>
      </c>
      <c r="B2" s="14" t="s">
        <v>22</v>
      </c>
      <c r="C2" s="14" t="s">
        <v>24</v>
      </c>
      <c r="D2" s="14" t="s">
        <v>0</v>
      </c>
      <c r="E2" s="77" t="s">
        <v>26</v>
      </c>
      <c r="F2" s="5"/>
      <c r="G2" s="5"/>
      <c r="H2" s="6"/>
      <c r="I2" s="15"/>
      <c r="J2" s="78" t="s">
        <v>29</v>
      </c>
      <c r="K2" s="78" t="s">
        <v>30</v>
      </c>
      <c r="L2" s="78" t="s">
        <v>31</v>
      </c>
      <c r="M2" s="78" t="s">
        <v>32</v>
      </c>
    </row>
    <row r="3">
      <c r="A3" s="15"/>
      <c r="B3" s="15"/>
      <c r="C3" s="15"/>
      <c r="D3" s="15"/>
      <c r="E3" s="79" t="s">
        <v>34</v>
      </c>
      <c r="F3" s="25" t="s">
        <v>35</v>
      </c>
      <c r="G3" s="25" t="s">
        <v>36</v>
      </c>
      <c r="H3" s="25" t="s">
        <v>37</v>
      </c>
      <c r="I3" s="29"/>
      <c r="J3" s="15"/>
      <c r="K3" s="15"/>
      <c r="L3" s="15"/>
      <c r="M3" s="15"/>
    </row>
    <row r="4">
      <c r="A4" s="31">
        <v>1.0</v>
      </c>
      <c r="B4" s="1" t="s">
        <v>105</v>
      </c>
      <c r="C4" s="26">
        <v>1.005880522E9</v>
      </c>
      <c r="D4" s="1" t="s">
        <v>6</v>
      </c>
      <c r="E4" s="81">
        <v>3600.0</v>
      </c>
      <c r="F4" s="1">
        <v>3600.0</v>
      </c>
      <c r="G4" s="82">
        <f t="shared" ref="G4:G16" si="1">E4-F4</f>
        <v>0</v>
      </c>
      <c r="H4" s="37"/>
      <c r="I4" s="29"/>
      <c r="J4" s="1" t="s">
        <v>107</v>
      </c>
      <c r="K4" s="1" t="s">
        <v>108</v>
      </c>
      <c r="L4" s="1" t="s">
        <v>107</v>
      </c>
      <c r="M4" s="1" t="s">
        <v>107</v>
      </c>
    </row>
    <row r="5">
      <c r="A5" s="31">
        <v>2.0</v>
      </c>
      <c r="B5" s="1" t="s">
        <v>109</v>
      </c>
      <c r="C5" s="26">
        <v>1.033383373E9</v>
      </c>
      <c r="D5" s="1" t="s">
        <v>6</v>
      </c>
      <c r="E5" s="81">
        <v>3600.0</v>
      </c>
      <c r="F5" s="1">
        <v>3600.0</v>
      </c>
      <c r="G5" s="82">
        <f t="shared" si="1"/>
        <v>0</v>
      </c>
      <c r="H5" s="1"/>
      <c r="I5" s="48"/>
      <c r="J5" s="1" t="s">
        <v>107</v>
      </c>
      <c r="K5" s="1" t="s">
        <v>107</v>
      </c>
      <c r="L5" s="1" t="s">
        <v>108</v>
      </c>
      <c r="M5" s="1" t="s">
        <v>107</v>
      </c>
    </row>
    <row r="6">
      <c r="A6" s="31">
        <v>3.0</v>
      </c>
      <c r="B6" s="83" t="s">
        <v>110</v>
      </c>
      <c r="C6" s="26">
        <v>1.005162673E9</v>
      </c>
      <c r="D6" s="1" t="s">
        <v>6</v>
      </c>
      <c r="E6" s="81">
        <v>3600.0</v>
      </c>
      <c r="F6" s="1">
        <v>3600.0</v>
      </c>
      <c r="G6" s="82">
        <f t="shared" si="1"/>
        <v>0</v>
      </c>
      <c r="H6" s="1"/>
      <c r="I6" s="29"/>
      <c r="J6" s="1" t="s">
        <v>107</v>
      </c>
      <c r="K6" s="1" t="s">
        <v>107</v>
      </c>
      <c r="L6" s="1" t="s">
        <v>107</v>
      </c>
      <c r="M6" s="1" t="s">
        <v>107</v>
      </c>
    </row>
    <row r="7">
      <c r="A7" s="31">
        <v>4.0</v>
      </c>
      <c r="B7" s="84" t="s">
        <v>111</v>
      </c>
      <c r="C7" s="26">
        <v>1.225662058E9</v>
      </c>
      <c r="D7" s="1" t="s">
        <v>6</v>
      </c>
      <c r="E7" s="81">
        <v>3600.0</v>
      </c>
      <c r="F7" s="1">
        <v>3600.0</v>
      </c>
      <c r="G7" s="82">
        <f t="shared" si="1"/>
        <v>0</v>
      </c>
      <c r="H7" s="1"/>
      <c r="I7" s="29"/>
      <c r="J7" s="1" t="s">
        <v>107</v>
      </c>
      <c r="K7" s="1" t="s">
        <v>107</v>
      </c>
      <c r="L7" s="1" t="s">
        <v>107</v>
      </c>
      <c r="M7" s="1" t="s">
        <v>107</v>
      </c>
    </row>
    <row r="8">
      <c r="A8" s="31">
        <v>5.0</v>
      </c>
      <c r="B8" s="1" t="s">
        <v>113</v>
      </c>
      <c r="C8" s="26">
        <v>1.221178895E9</v>
      </c>
      <c r="D8" s="1" t="s">
        <v>6</v>
      </c>
      <c r="E8" s="81">
        <v>3600.0</v>
      </c>
      <c r="F8" s="1">
        <v>3600.0</v>
      </c>
      <c r="G8" s="82">
        <f t="shared" si="1"/>
        <v>0</v>
      </c>
      <c r="H8" s="1"/>
      <c r="I8" s="29"/>
      <c r="J8" s="1" t="s">
        <v>107</v>
      </c>
      <c r="K8" s="1" t="s">
        <v>107</v>
      </c>
      <c r="L8" s="1" t="s">
        <v>107</v>
      </c>
      <c r="M8" s="1" t="s">
        <v>107</v>
      </c>
    </row>
    <row r="9">
      <c r="A9" s="31">
        <v>6.0</v>
      </c>
      <c r="B9" s="1" t="s">
        <v>114</v>
      </c>
      <c r="C9" s="26">
        <v>1.222110141E9</v>
      </c>
      <c r="D9" s="1" t="s">
        <v>13</v>
      </c>
      <c r="E9" s="81">
        <v>3600.0</v>
      </c>
      <c r="F9" s="1">
        <v>3600.0</v>
      </c>
      <c r="G9" s="82">
        <f t="shared" si="1"/>
        <v>0</v>
      </c>
      <c r="H9" s="37"/>
      <c r="I9" s="29"/>
      <c r="J9" s="1" t="s">
        <v>107</v>
      </c>
      <c r="K9" s="1" t="s">
        <v>107</v>
      </c>
      <c r="L9" s="1" t="s">
        <v>107</v>
      </c>
      <c r="M9" s="1" t="s">
        <v>107</v>
      </c>
    </row>
    <row r="10">
      <c r="A10" s="31">
        <v>7.0</v>
      </c>
      <c r="B10" s="62" t="s">
        <v>115</v>
      </c>
      <c r="C10" s="85">
        <v>1.063552208E9</v>
      </c>
      <c r="D10" s="62" t="s">
        <v>13</v>
      </c>
      <c r="E10" s="81">
        <v>3600.0</v>
      </c>
      <c r="F10" s="62">
        <v>3600.0</v>
      </c>
      <c r="G10" s="82">
        <f t="shared" si="1"/>
        <v>0</v>
      </c>
      <c r="H10" s="1"/>
      <c r="I10" s="29"/>
      <c r="J10" s="1" t="s">
        <v>107</v>
      </c>
      <c r="K10" s="1" t="s">
        <v>107</v>
      </c>
      <c r="L10" s="1" t="s">
        <v>107</v>
      </c>
      <c r="M10" s="1" t="s">
        <v>107</v>
      </c>
    </row>
    <row r="11">
      <c r="A11" s="31">
        <v>8.0</v>
      </c>
      <c r="B11" s="1" t="s">
        <v>117</v>
      </c>
      <c r="C11" s="26">
        <v>9.71505511829E11</v>
      </c>
      <c r="D11" s="1" t="s">
        <v>6</v>
      </c>
      <c r="E11" s="81">
        <v>3600.0</v>
      </c>
      <c r="F11" s="1">
        <v>3600.0</v>
      </c>
      <c r="G11" s="82">
        <f t="shared" si="1"/>
        <v>0</v>
      </c>
      <c r="H11" s="1" t="s">
        <v>118</v>
      </c>
      <c r="I11" s="29"/>
      <c r="J11" s="1" t="s">
        <v>61</v>
      </c>
      <c r="K11" s="1" t="s">
        <v>61</v>
      </c>
      <c r="L11" s="1" t="s">
        <v>119</v>
      </c>
      <c r="M11" s="1" t="s">
        <v>119</v>
      </c>
    </row>
    <row r="12">
      <c r="A12" s="31">
        <v>9.0</v>
      </c>
      <c r="B12" s="1" t="s">
        <v>120</v>
      </c>
      <c r="C12" s="26">
        <v>1.000057138E9</v>
      </c>
      <c r="D12" s="1" t="s">
        <v>6</v>
      </c>
      <c r="E12" s="81">
        <v>3600.0</v>
      </c>
      <c r="F12" s="1">
        <v>3600.0</v>
      </c>
      <c r="G12" s="82">
        <f t="shared" si="1"/>
        <v>0</v>
      </c>
      <c r="H12" s="37"/>
      <c r="I12" s="29"/>
      <c r="J12" s="1" t="s">
        <v>108</v>
      </c>
      <c r="K12" s="1" t="s">
        <v>108</v>
      </c>
      <c r="L12" s="1" t="s">
        <v>107</v>
      </c>
      <c r="M12" s="1" t="s">
        <v>107</v>
      </c>
    </row>
    <row r="13">
      <c r="A13" s="31">
        <v>10.0</v>
      </c>
      <c r="B13" s="83" t="s">
        <v>121</v>
      </c>
      <c r="C13" s="26">
        <v>1.02781E8</v>
      </c>
      <c r="D13" s="1" t="s">
        <v>6</v>
      </c>
      <c r="E13" s="81">
        <v>3600.0</v>
      </c>
      <c r="F13" s="1">
        <v>3600.0</v>
      </c>
      <c r="G13" s="82">
        <f t="shared" si="1"/>
        <v>0</v>
      </c>
      <c r="H13" s="37"/>
      <c r="I13" s="29"/>
      <c r="J13" s="1" t="s">
        <v>108</v>
      </c>
      <c r="K13" s="1" t="s">
        <v>107</v>
      </c>
      <c r="L13" s="1" t="s">
        <v>107</v>
      </c>
      <c r="M13" s="1" t="s">
        <v>107</v>
      </c>
    </row>
    <row r="14">
      <c r="A14" s="31">
        <v>11.0</v>
      </c>
      <c r="B14" s="1" t="s">
        <v>122</v>
      </c>
      <c r="C14" s="33"/>
      <c r="D14" s="1"/>
      <c r="E14" s="81">
        <v>3600.0</v>
      </c>
      <c r="F14" s="37"/>
      <c r="G14" s="82">
        <f t="shared" si="1"/>
        <v>3600</v>
      </c>
      <c r="H14" s="1" t="s">
        <v>82</v>
      </c>
      <c r="I14" s="29"/>
      <c r="J14" s="1" t="s">
        <v>108</v>
      </c>
      <c r="K14" s="1" t="s">
        <v>107</v>
      </c>
      <c r="L14" s="1" t="s">
        <v>107</v>
      </c>
      <c r="M14" s="1" t="s">
        <v>107</v>
      </c>
    </row>
    <row r="15">
      <c r="A15" s="31">
        <v>12.0</v>
      </c>
      <c r="B15" s="86" t="s">
        <v>123</v>
      </c>
      <c r="C15" s="26" t="s">
        <v>124</v>
      </c>
      <c r="D15" s="1" t="s">
        <v>16</v>
      </c>
      <c r="E15" s="81">
        <v>3600.0</v>
      </c>
      <c r="F15" s="1">
        <v>3759.5</v>
      </c>
      <c r="G15" s="82">
        <f t="shared" si="1"/>
        <v>-159.5</v>
      </c>
      <c r="H15" s="1" t="s">
        <v>125</v>
      </c>
      <c r="I15" s="29"/>
      <c r="J15" s="37"/>
      <c r="K15" s="37"/>
      <c r="L15" s="1"/>
      <c r="M15" s="1"/>
    </row>
    <row r="16">
      <c r="A16" s="31">
        <v>13.0</v>
      </c>
      <c r="B16" s="1" t="s">
        <v>126</v>
      </c>
      <c r="C16" s="26" t="s">
        <v>127</v>
      </c>
      <c r="D16" s="1" t="s">
        <v>6</v>
      </c>
      <c r="E16" s="81">
        <v>3600.0</v>
      </c>
      <c r="F16" s="1">
        <v>3600.0</v>
      </c>
      <c r="G16" s="82">
        <f t="shared" si="1"/>
        <v>0</v>
      </c>
      <c r="H16" s="37"/>
      <c r="I16" s="29"/>
      <c r="J16" s="1" t="s">
        <v>107</v>
      </c>
      <c r="K16" s="1" t="s">
        <v>107</v>
      </c>
      <c r="L16" s="1" t="s">
        <v>107</v>
      </c>
      <c r="M16" s="1" t="s">
        <v>107</v>
      </c>
    </row>
    <row r="17">
      <c r="A17" s="87"/>
      <c r="B17" s="87"/>
      <c r="C17" s="88"/>
      <c r="E17" s="89"/>
    </row>
    <row r="18">
      <c r="A18" s="87"/>
      <c r="B18" s="87"/>
      <c r="C18" s="88"/>
      <c r="E18" s="89"/>
    </row>
    <row r="19">
      <c r="A19" s="87"/>
      <c r="B19" s="90" t="s">
        <v>128</v>
      </c>
      <c r="C19" s="88"/>
      <c r="E19" s="89">
        <f>SUM(E4:E18)</f>
        <v>46800</v>
      </c>
    </row>
    <row r="20">
      <c r="A20" s="87"/>
      <c r="B20" s="87"/>
      <c r="C20" s="88"/>
      <c r="E20" s="89"/>
    </row>
    <row r="21">
      <c r="A21" s="87"/>
      <c r="B21" s="87"/>
      <c r="C21" s="88"/>
      <c r="E21" s="89"/>
    </row>
    <row r="22">
      <c r="A22" s="87"/>
      <c r="B22" s="87"/>
      <c r="C22" s="88"/>
      <c r="E22" s="89"/>
    </row>
    <row r="23">
      <c r="A23" s="87"/>
      <c r="B23" s="87"/>
      <c r="C23" s="88"/>
      <c r="E23" s="89"/>
    </row>
    <row r="24">
      <c r="A24" s="87"/>
      <c r="B24" s="87"/>
      <c r="C24" s="88"/>
      <c r="E24" s="89"/>
    </row>
    <row r="25">
      <c r="A25" s="87"/>
      <c r="B25" s="87"/>
      <c r="C25" s="88"/>
      <c r="E25" s="89"/>
    </row>
    <row r="26">
      <c r="A26" s="87"/>
      <c r="B26" s="87"/>
      <c r="C26" s="88"/>
      <c r="E26" s="89"/>
    </row>
    <row r="27">
      <c r="A27" s="87"/>
      <c r="B27" s="87"/>
      <c r="C27" s="88"/>
      <c r="E27" s="89"/>
    </row>
    <row r="28">
      <c r="A28" s="87"/>
      <c r="B28" s="87"/>
      <c r="C28" s="88"/>
      <c r="E28" s="89"/>
    </row>
    <row r="29">
      <c r="A29" s="87"/>
      <c r="B29" s="87"/>
      <c r="C29" s="88"/>
      <c r="E29" s="89"/>
    </row>
    <row r="30">
      <c r="A30" s="87"/>
      <c r="B30" s="87"/>
      <c r="C30" s="88"/>
      <c r="E30" s="89"/>
    </row>
    <row r="31">
      <c r="A31" s="87"/>
      <c r="B31" s="87"/>
      <c r="C31" s="88"/>
      <c r="E31" s="89"/>
    </row>
    <row r="32">
      <c r="A32" s="87"/>
      <c r="B32" s="87"/>
      <c r="C32" s="88"/>
      <c r="E32" s="89"/>
    </row>
    <row r="33">
      <c r="A33" s="87"/>
      <c r="B33" s="87"/>
      <c r="C33" s="88"/>
      <c r="E33" s="89"/>
    </row>
    <row r="34">
      <c r="A34" s="87"/>
      <c r="B34" s="87"/>
      <c r="C34" s="88"/>
      <c r="E34" s="89"/>
    </row>
    <row r="35">
      <c r="A35" s="87"/>
      <c r="B35" s="87"/>
      <c r="C35" s="88"/>
      <c r="E35" s="89"/>
    </row>
    <row r="36">
      <c r="A36" s="87"/>
      <c r="B36" s="87"/>
      <c r="C36" s="88"/>
      <c r="E36" s="89"/>
    </row>
    <row r="37">
      <c r="A37" s="87"/>
      <c r="B37" s="87"/>
      <c r="C37" s="88"/>
      <c r="E37" s="89"/>
    </row>
    <row r="38">
      <c r="A38" s="87"/>
      <c r="B38" s="87"/>
      <c r="C38" s="88"/>
      <c r="E38" s="89"/>
    </row>
    <row r="39">
      <c r="A39" s="87"/>
      <c r="B39" s="87"/>
      <c r="C39" s="88"/>
      <c r="E39" s="89"/>
    </row>
    <row r="40">
      <c r="A40" s="87"/>
      <c r="B40" s="87"/>
      <c r="C40" s="88"/>
      <c r="E40" s="89"/>
    </row>
    <row r="41">
      <c r="A41" s="87"/>
      <c r="B41" s="87"/>
      <c r="C41" s="88"/>
      <c r="E41" s="89"/>
    </row>
    <row r="42">
      <c r="A42" s="87"/>
      <c r="B42" s="87"/>
      <c r="C42" s="88"/>
      <c r="E42" s="89"/>
    </row>
    <row r="43">
      <c r="A43" s="87"/>
      <c r="B43" s="87"/>
      <c r="C43" s="88"/>
      <c r="E43" s="89"/>
    </row>
    <row r="44">
      <c r="A44" s="87"/>
      <c r="B44" s="87"/>
      <c r="C44" s="88"/>
      <c r="E44" s="89"/>
    </row>
    <row r="45">
      <c r="A45" s="87"/>
      <c r="B45" s="87"/>
      <c r="C45" s="88"/>
      <c r="E45" s="89"/>
    </row>
    <row r="46">
      <c r="A46" s="87"/>
      <c r="B46" s="87"/>
      <c r="C46" s="88"/>
      <c r="E46" s="89"/>
    </row>
    <row r="47">
      <c r="A47" s="87"/>
      <c r="B47" s="87"/>
      <c r="C47" s="88"/>
      <c r="E47" s="89"/>
    </row>
    <row r="48">
      <c r="A48" s="87"/>
      <c r="B48" s="87"/>
      <c r="C48" s="88"/>
      <c r="E48" s="89"/>
    </row>
    <row r="49">
      <c r="A49" s="87"/>
      <c r="B49" s="87"/>
      <c r="C49" s="88"/>
      <c r="E49" s="89"/>
    </row>
    <row r="50">
      <c r="A50" s="87"/>
      <c r="B50" s="87"/>
      <c r="C50" s="88"/>
      <c r="E50" s="89"/>
    </row>
    <row r="51">
      <c r="A51" s="87"/>
      <c r="B51" s="87"/>
      <c r="C51" s="88"/>
      <c r="E51" s="89"/>
    </row>
    <row r="52">
      <c r="A52" s="87"/>
      <c r="B52" s="87"/>
      <c r="C52" s="88"/>
      <c r="E52" s="89"/>
    </row>
    <row r="53">
      <c r="A53" s="87"/>
      <c r="B53" s="87"/>
      <c r="C53" s="88"/>
      <c r="E53" s="89"/>
    </row>
    <row r="54">
      <c r="A54" s="87"/>
      <c r="B54" s="87"/>
      <c r="C54" s="88"/>
      <c r="E54" s="89"/>
    </row>
    <row r="55">
      <c r="A55" s="87"/>
      <c r="B55" s="87"/>
      <c r="C55" s="88"/>
      <c r="E55" s="89"/>
    </row>
    <row r="56">
      <c r="A56" s="87"/>
      <c r="B56" s="87"/>
      <c r="C56" s="88"/>
      <c r="E56" s="89"/>
    </row>
    <row r="57">
      <c r="A57" s="87"/>
      <c r="B57" s="87"/>
      <c r="C57" s="88"/>
      <c r="E57" s="89"/>
    </row>
    <row r="58">
      <c r="A58" s="87"/>
      <c r="B58" s="87"/>
      <c r="C58" s="88"/>
      <c r="E58" s="89"/>
    </row>
    <row r="59">
      <c r="A59" s="87"/>
      <c r="B59" s="87"/>
      <c r="C59" s="88"/>
      <c r="E59" s="89"/>
    </row>
    <row r="60">
      <c r="A60" s="87"/>
      <c r="B60" s="87"/>
      <c r="C60" s="88"/>
      <c r="E60" s="89"/>
    </row>
    <row r="61">
      <c r="A61" s="87"/>
      <c r="B61" s="87"/>
      <c r="C61" s="88"/>
      <c r="E61" s="89"/>
    </row>
    <row r="62">
      <c r="A62" s="87"/>
      <c r="B62" s="87"/>
      <c r="C62" s="88"/>
      <c r="E62" s="89"/>
    </row>
    <row r="63">
      <c r="A63" s="87"/>
      <c r="B63" s="87"/>
      <c r="C63" s="88"/>
      <c r="E63" s="89"/>
    </row>
    <row r="64">
      <c r="A64" s="87"/>
      <c r="B64" s="87"/>
      <c r="C64" s="88"/>
      <c r="E64" s="89"/>
    </row>
    <row r="65">
      <c r="A65" s="87"/>
      <c r="B65" s="87"/>
      <c r="C65" s="88"/>
      <c r="E65" s="89"/>
    </row>
    <row r="66">
      <c r="A66" s="87"/>
      <c r="B66" s="87"/>
      <c r="C66" s="88"/>
      <c r="E66" s="89"/>
    </row>
    <row r="67">
      <c r="A67" s="87"/>
      <c r="B67" s="87"/>
      <c r="C67" s="88"/>
      <c r="E67" s="89"/>
    </row>
    <row r="68">
      <c r="A68" s="87"/>
      <c r="B68" s="87"/>
      <c r="C68" s="88"/>
      <c r="E68" s="89"/>
    </row>
    <row r="69">
      <c r="A69" s="87"/>
      <c r="B69" s="87"/>
      <c r="C69" s="88"/>
      <c r="E69" s="89"/>
    </row>
    <row r="70">
      <c r="A70" s="87"/>
      <c r="B70" s="87"/>
      <c r="C70" s="88"/>
      <c r="E70" s="89"/>
    </row>
    <row r="71">
      <c r="A71" s="87"/>
      <c r="B71" s="87"/>
      <c r="C71" s="88"/>
      <c r="E71" s="89"/>
    </row>
    <row r="72">
      <c r="A72" s="87"/>
      <c r="B72" s="87"/>
      <c r="C72" s="88"/>
      <c r="E72" s="89"/>
    </row>
    <row r="73">
      <c r="A73" s="87"/>
      <c r="B73" s="87"/>
      <c r="C73" s="88"/>
      <c r="E73" s="89"/>
    </row>
    <row r="74">
      <c r="A74" s="87"/>
      <c r="B74" s="87"/>
      <c r="C74" s="88"/>
      <c r="E74" s="89"/>
    </row>
    <row r="75">
      <c r="A75" s="87"/>
      <c r="B75" s="87"/>
      <c r="C75" s="88"/>
      <c r="E75" s="89"/>
    </row>
    <row r="76">
      <c r="A76" s="87"/>
      <c r="B76" s="87"/>
      <c r="C76" s="88"/>
      <c r="E76" s="89"/>
    </row>
    <row r="77">
      <c r="A77" s="87"/>
      <c r="B77" s="87"/>
      <c r="C77" s="88"/>
      <c r="E77" s="89"/>
    </row>
    <row r="78">
      <c r="A78" s="87"/>
      <c r="B78" s="87"/>
      <c r="C78" s="88"/>
      <c r="E78" s="89"/>
    </row>
    <row r="79">
      <c r="A79" s="87"/>
      <c r="B79" s="87"/>
      <c r="C79" s="88"/>
      <c r="E79" s="89"/>
    </row>
    <row r="80">
      <c r="A80" s="87"/>
      <c r="B80" s="87"/>
      <c r="C80" s="88"/>
      <c r="E80" s="89"/>
    </row>
    <row r="81">
      <c r="A81" s="87"/>
      <c r="B81" s="87"/>
      <c r="C81" s="88"/>
      <c r="E81" s="89"/>
    </row>
    <row r="82">
      <c r="A82" s="87"/>
      <c r="B82" s="87"/>
      <c r="C82" s="88"/>
      <c r="E82" s="89"/>
    </row>
    <row r="83">
      <c r="A83" s="87"/>
      <c r="B83" s="87"/>
      <c r="C83" s="88"/>
      <c r="E83" s="89"/>
    </row>
    <row r="84">
      <c r="A84" s="87"/>
      <c r="B84" s="87"/>
      <c r="C84" s="88"/>
      <c r="E84" s="89"/>
    </row>
    <row r="85">
      <c r="A85" s="87"/>
      <c r="B85" s="87"/>
      <c r="C85" s="88"/>
      <c r="E85" s="89"/>
    </row>
    <row r="86">
      <c r="A86" s="87"/>
      <c r="B86" s="87"/>
      <c r="C86" s="88"/>
      <c r="E86" s="89"/>
    </row>
    <row r="87">
      <c r="A87" s="87"/>
      <c r="B87" s="87"/>
      <c r="C87" s="88"/>
      <c r="E87" s="89"/>
    </row>
    <row r="88">
      <c r="A88" s="87"/>
      <c r="B88" s="87"/>
      <c r="C88" s="88"/>
      <c r="E88" s="89"/>
    </row>
    <row r="89">
      <c r="A89" s="87"/>
      <c r="B89" s="87"/>
      <c r="C89" s="88"/>
      <c r="E89" s="89"/>
    </row>
    <row r="90">
      <c r="A90" s="87"/>
      <c r="B90" s="87"/>
      <c r="C90" s="88"/>
      <c r="E90" s="89"/>
    </row>
    <row r="91">
      <c r="A91" s="87"/>
      <c r="B91" s="87"/>
      <c r="C91" s="88"/>
      <c r="E91" s="89"/>
    </row>
    <row r="92">
      <c r="A92" s="87"/>
      <c r="B92" s="87"/>
      <c r="C92" s="88"/>
      <c r="E92" s="89"/>
    </row>
    <row r="93">
      <c r="A93" s="87"/>
      <c r="B93" s="87"/>
      <c r="C93" s="88"/>
      <c r="E93" s="89"/>
    </row>
    <row r="94">
      <c r="A94" s="87"/>
      <c r="B94" s="87"/>
      <c r="C94" s="88"/>
      <c r="E94" s="89"/>
    </row>
    <row r="95">
      <c r="A95" s="87"/>
      <c r="B95" s="87"/>
      <c r="C95" s="88"/>
      <c r="E95" s="89"/>
    </row>
    <row r="96">
      <c r="A96" s="87"/>
      <c r="B96" s="87"/>
      <c r="C96" s="88"/>
      <c r="E96" s="89"/>
    </row>
    <row r="97">
      <c r="A97" s="87"/>
      <c r="B97" s="87"/>
      <c r="C97" s="88"/>
      <c r="E97" s="89"/>
    </row>
    <row r="98">
      <c r="A98" s="87"/>
      <c r="B98" s="87"/>
      <c r="C98" s="88"/>
      <c r="E98" s="89"/>
    </row>
    <row r="99">
      <c r="A99" s="87"/>
      <c r="B99" s="87"/>
      <c r="C99" s="88"/>
      <c r="E99" s="89"/>
    </row>
    <row r="100">
      <c r="A100" s="87"/>
      <c r="B100" s="87"/>
      <c r="C100" s="88"/>
      <c r="E100" s="89"/>
    </row>
    <row r="101">
      <c r="A101" s="87"/>
      <c r="B101" s="87"/>
      <c r="C101" s="88"/>
      <c r="E101" s="89"/>
    </row>
    <row r="102">
      <c r="A102" s="87"/>
      <c r="B102" s="87"/>
      <c r="C102" s="88"/>
      <c r="E102" s="89"/>
    </row>
    <row r="103">
      <c r="A103" s="87"/>
      <c r="B103" s="87"/>
      <c r="C103" s="88"/>
      <c r="E103" s="89"/>
    </row>
    <row r="104">
      <c r="A104" s="87"/>
      <c r="B104" s="87"/>
      <c r="C104" s="88"/>
      <c r="E104" s="89"/>
    </row>
    <row r="105">
      <c r="A105" s="87"/>
      <c r="B105" s="87"/>
      <c r="C105" s="88"/>
      <c r="E105" s="89"/>
    </row>
    <row r="106">
      <c r="A106" s="87"/>
      <c r="B106" s="87"/>
      <c r="C106" s="88"/>
      <c r="E106" s="89"/>
    </row>
    <row r="107">
      <c r="A107" s="87"/>
      <c r="B107" s="87"/>
      <c r="C107" s="88"/>
      <c r="E107" s="89"/>
    </row>
    <row r="108">
      <c r="A108" s="87"/>
      <c r="B108" s="87"/>
      <c r="C108" s="88"/>
      <c r="E108" s="89"/>
    </row>
    <row r="109">
      <c r="A109" s="87"/>
      <c r="B109" s="87"/>
      <c r="C109" s="88"/>
      <c r="E109" s="89"/>
    </row>
    <row r="110">
      <c r="A110" s="87"/>
      <c r="B110" s="87"/>
      <c r="C110" s="88"/>
      <c r="E110" s="89"/>
    </row>
    <row r="111">
      <c r="A111" s="87"/>
      <c r="B111" s="87"/>
      <c r="C111" s="88"/>
      <c r="E111" s="89"/>
    </row>
    <row r="112">
      <c r="A112" s="87"/>
      <c r="B112" s="87"/>
      <c r="C112" s="88"/>
      <c r="E112" s="89"/>
    </row>
    <row r="113">
      <c r="A113" s="87"/>
      <c r="B113" s="87"/>
      <c r="C113" s="88"/>
      <c r="E113" s="89"/>
    </row>
    <row r="114">
      <c r="A114" s="87"/>
      <c r="B114" s="87"/>
      <c r="C114" s="88"/>
      <c r="E114" s="89"/>
    </row>
    <row r="115">
      <c r="A115" s="87"/>
      <c r="B115" s="87"/>
      <c r="C115" s="88"/>
      <c r="E115" s="89"/>
    </row>
    <row r="116">
      <c r="A116" s="87"/>
      <c r="B116" s="87"/>
      <c r="C116" s="88"/>
      <c r="E116" s="89"/>
    </row>
    <row r="117">
      <c r="A117" s="87"/>
      <c r="B117" s="87"/>
      <c r="C117" s="88"/>
      <c r="E117" s="89"/>
    </row>
    <row r="118">
      <c r="A118" s="87"/>
      <c r="B118" s="87"/>
      <c r="C118" s="88"/>
      <c r="E118" s="89"/>
    </row>
    <row r="119">
      <c r="A119" s="87"/>
      <c r="B119" s="87"/>
      <c r="C119" s="88"/>
      <c r="E119" s="89"/>
    </row>
    <row r="120">
      <c r="A120" s="87"/>
      <c r="B120" s="87"/>
      <c r="C120" s="88"/>
      <c r="E120" s="89"/>
    </row>
    <row r="121">
      <c r="A121" s="87"/>
      <c r="B121" s="87"/>
      <c r="C121" s="88"/>
      <c r="E121" s="89"/>
    </row>
    <row r="122">
      <c r="A122" s="87"/>
      <c r="B122" s="87"/>
      <c r="C122" s="88"/>
      <c r="E122" s="89"/>
    </row>
    <row r="123">
      <c r="A123" s="87"/>
      <c r="B123" s="87"/>
      <c r="C123" s="88"/>
      <c r="E123" s="89"/>
    </row>
    <row r="124">
      <c r="A124" s="87"/>
      <c r="B124" s="87"/>
      <c r="C124" s="88"/>
      <c r="E124" s="89"/>
    </row>
    <row r="125">
      <c r="A125" s="87"/>
      <c r="B125" s="87"/>
      <c r="C125" s="88"/>
      <c r="E125" s="89"/>
    </row>
    <row r="126">
      <c r="A126" s="87"/>
      <c r="B126" s="87"/>
      <c r="C126" s="88"/>
      <c r="E126" s="89"/>
    </row>
    <row r="127">
      <c r="A127" s="87"/>
      <c r="B127" s="87"/>
      <c r="C127" s="88"/>
      <c r="E127" s="89"/>
    </row>
    <row r="128">
      <c r="A128" s="87"/>
      <c r="B128" s="87"/>
      <c r="C128" s="88"/>
      <c r="E128" s="89"/>
    </row>
    <row r="129">
      <c r="A129" s="87"/>
      <c r="B129" s="87"/>
      <c r="C129" s="88"/>
      <c r="E129" s="89"/>
    </row>
    <row r="130">
      <c r="A130" s="87"/>
      <c r="B130" s="87"/>
      <c r="C130" s="88"/>
      <c r="E130" s="89"/>
    </row>
    <row r="131">
      <c r="A131" s="87"/>
      <c r="B131" s="87"/>
      <c r="C131" s="88"/>
      <c r="E131" s="89"/>
    </row>
    <row r="132">
      <c r="A132" s="87"/>
      <c r="B132" s="87"/>
      <c r="C132" s="88"/>
      <c r="E132" s="89"/>
    </row>
    <row r="133">
      <c r="A133" s="87"/>
      <c r="B133" s="87"/>
      <c r="C133" s="88"/>
      <c r="E133" s="89"/>
    </row>
    <row r="134">
      <c r="A134" s="87"/>
      <c r="B134" s="87"/>
      <c r="C134" s="88"/>
      <c r="E134" s="89"/>
    </row>
    <row r="135">
      <c r="A135" s="87"/>
      <c r="B135" s="87"/>
      <c r="C135" s="88"/>
      <c r="E135" s="89"/>
    </row>
    <row r="136">
      <c r="A136" s="87"/>
      <c r="B136" s="87"/>
      <c r="C136" s="88"/>
      <c r="E136" s="89"/>
    </row>
    <row r="137">
      <c r="A137" s="87"/>
      <c r="B137" s="87"/>
      <c r="C137" s="88"/>
      <c r="E137" s="89"/>
    </row>
    <row r="138">
      <c r="A138" s="87"/>
      <c r="B138" s="87"/>
      <c r="C138" s="88"/>
      <c r="E138" s="89"/>
    </row>
    <row r="139">
      <c r="A139" s="87"/>
      <c r="B139" s="87"/>
      <c r="C139" s="88"/>
      <c r="E139" s="89"/>
    </row>
    <row r="140">
      <c r="A140" s="87"/>
      <c r="B140" s="87"/>
      <c r="C140" s="88"/>
      <c r="E140" s="89"/>
    </row>
    <row r="141">
      <c r="A141" s="87"/>
      <c r="B141" s="87"/>
      <c r="C141" s="88"/>
      <c r="E141" s="89"/>
    </row>
    <row r="142">
      <c r="A142" s="87"/>
      <c r="B142" s="87"/>
      <c r="C142" s="88"/>
      <c r="E142" s="89"/>
    </row>
    <row r="143">
      <c r="A143" s="87"/>
      <c r="B143" s="87"/>
      <c r="C143" s="88"/>
      <c r="E143" s="89"/>
    </row>
    <row r="144">
      <c r="A144" s="87"/>
      <c r="B144" s="87"/>
      <c r="C144" s="88"/>
      <c r="E144" s="89"/>
    </row>
    <row r="145">
      <c r="A145" s="87"/>
      <c r="B145" s="87"/>
      <c r="C145" s="88"/>
      <c r="E145" s="89"/>
    </row>
    <row r="146">
      <c r="A146" s="87"/>
      <c r="B146" s="87"/>
      <c r="C146" s="88"/>
      <c r="E146" s="89"/>
    </row>
    <row r="147">
      <c r="A147" s="87"/>
      <c r="B147" s="87"/>
      <c r="C147" s="88"/>
      <c r="E147" s="89"/>
    </row>
    <row r="148">
      <c r="A148" s="87"/>
      <c r="B148" s="87"/>
      <c r="C148" s="88"/>
      <c r="E148" s="89"/>
    </row>
    <row r="149">
      <c r="A149" s="87"/>
      <c r="B149" s="87"/>
      <c r="C149" s="88"/>
      <c r="E149" s="89"/>
    </row>
    <row r="150">
      <c r="A150" s="87"/>
      <c r="B150" s="87"/>
      <c r="C150" s="88"/>
      <c r="E150" s="89"/>
    </row>
    <row r="151">
      <c r="A151" s="87"/>
      <c r="B151" s="87"/>
      <c r="C151" s="88"/>
      <c r="E151" s="89"/>
    </row>
    <row r="152">
      <c r="A152" s="87"/>
      <c r="B152" s="87"/>
      <c r="C152" s="88"/>
      <c r="E152" s="89"/>
    </row>
    <row r="153">
      <c r="A153" s="87"/>
      <c r="B153" s="87"/>
      <c r="C153" s="88"/>
      <c r="E153" s="89"/>
    </row>
    <row r="154">
      <c r="A154" s="87"/>
      <c r="B154" s="87"/>
      <c r="C154" s="88"/>
      <c r="E154" s="89"/>
    </row>
    <row r="155">
      <c r="A155" s="87"/>
      <c r="B155" s="87"/>
      <c r="C155" s="88"/>
      <c r="E155" s="89"/>
    </row>
    <row r="156">
      <c r="A156" s="87"/>
      <c r="B156" s="87"/>
      <c r="C156" s="88"/>
      <c r="E156" s="89"/>
    </row>
    <row r="157">
      <c r="A157" s="87"/>
      <c r="B157" s="87"/>
      <c r="C157" s="88"/>
      <c r="E157" s="89"/>
    </row>
    <row r="158">
      <c r="A158" s="87"/>
      <c r="B158" s="87"/>
      <c r="C158" s="88"/>
      <c r="E158" s="89"/>
    </row>
    <row r="159">
      <c r="A159" s="87"/>
      <c r="B159" s="87"/>
      <c r="C159" s="88"/>
      <c r="E159" s="89"/>
    </row>
    <row r="160">
      <c r="A160" s="87"/>
      <c r="B160" s="87"/>
      <c r="C160" s="88"/>
      <c r="E160" s="89"/>
    </row>
    <row r="161">
      <c r="A161" s="87"/>
      <c r="B161" s="87"/>
      <c r="C161" s="88"/>
      <c r="E161" s="89"/>
    </row>
    <row r="162">
      <c r="A162" s="87"/>
      <c r="B162" s="87"/>
      <c r="C162" s="88"/>
      <c r="E162" s="89"/>
    </row>
    <row r="163">
      <c r="A163" s="87"/>
      <c r="B163" s="87"/>
      <c r="C163" s="88"/>
      <c r="E163" s="89"/>
    </row>
    <row r="164">
      <c r="A164" s="87"/>
      <c r="B164" s="87"/>
      <c r="C164" s="88"/>
      <c r="E164" s="89"/>
    </row>
    <row r="165">
      <c r="A165" s="87"/>
      <c r="B165" s="87"/>
      <c r="C165" s="88"/>
      <c r="E165" s="89"/>
    </row>
    <row r="166">
      <c r="A166" s="87"/>
      <c r="B166" s="87"/>
      <c r="C166" s="88"/>
      <c r="E166" s="89"/>
    </row>
    <row r="167">
      <c r="A167" s="87"/>
      <c r="B167" s="87"/>
      <c r="C167" s="88"/>
      <c r="E167" s="89"/>
    </row>
    <row r="168">
      <c r="A168" s="87"/>
      <c r="B168" s="87"/>
      <c r="C168" s="88"/>
      <c r="E168" s="89"/>
    </row>
    <row r="169">
      <c r="A169" s="87"/>
      <c r="B169" s="87"/>
      <c r="C169" s="88"/>
      <c r="E169" s="89"/>
    </row>
    <row r="170">
      <c r="A170" s="87"/>
      <c r="B170" s="87"/>
      <c r="C170" s="88"/>
      <c r="E170" s="89"/>
    </row>
    <row r="171">
      <c r="A171" s="87"/>
      <c r="B171" s="87"/>
      <c r="C171" s="88"/>
      <c r="E171" s="89"/>
    </row>
    <row r="172">
      <c r="A172" s="87"/>
      <c r="B172" s="87"/>
      <c r="C172" s="88"/>
      <c r="E172" s="89"/>
    </row>
    <row r="173">
      <c r="A173" s="87"/>
      <c r="B173" s="87"/>
      <c r="C173" s="88"/>
      <c r="E173" s="89"/>
    </row>
    <row r="174">
      <c r="A174" s="87"/>
      <c r="B174" s="87"/>
      <c r="C174" s="88"/>
      <c r="E174" s="89"/>
    </row>
    <row r="175">
      <c r="A175" s="87"/>
      <c r="B175" s="87"/>
      <c r="C175" s="88"/>
      <c r="E175" s="89"/>
    </row>
    <row r="176">
      <c r="A176" s="87"/>
      <c r="B176" s="87"/>
      <c r="C176" s="88"/>
      <c r="E176" s="89"/>
    </row>
    <row r="177">
      <c r="A177" s="87"/>
      <c r="B177" s="87"/>
      <c r="C177" s="88"/>
      <c r="E177" s="89"/>
    </row>
    <row r="178">
      <c r="A178" s="87"/>
      <c r="B178" s="87"/>
      <c r="C178" s="88"/>
      <c r="E178" s="89"/>
    </row>
    <row r="179">
      <c r="A179" s="87"/>
      <c r="B179" s="87"/>
      <c r="C179" s="88"/>
      <c r="E179" s="89"/>
    </row>
    <row r="180">
      <c r="A180" s="87"/>
      <c r="B180" s="87"/>
      <c r="C180" s="88"/>
      <c r="E180" s="89"/>
    </row>
    <row r="181">
      <c r="A181" s="87"/>
      <c r="B181" s="87"/>
      <c r="C181" s="88"/>
      <c r="E181" s="89"/>
    </row>
    <row r="182">
      <c r="A182" s="87"/>
      <c r="B182" s="87"/>
      <c r="C182" s="88"/>
      <c r="E182" s="89"/>
    </row>
    <row r="183">
      <c r="A183" s="87"/>
      <c r="B183" s="87"/>
      <c r="C183" s="88"/>
      <c r="E183" s="89"/>
    </row>
    <row r="184">
      <c r="A184" s="87"/>
      <c r="B184" s="87"/>
      <c r="C184" s="88"/>
      <c r="E184" s="89"/>
    </row>
    <row r="185">
      <c r="A185" s="87"/>
      <c r="B185" s="87"/>
      <c r="C185" s="88"/>
      <c r="E185" s="89"/>
    </row>
    <row r="186">
      <c r="A186" s="87"/>
      <c r="B186" s="87"/>
      <c r="C186" s="88"/>
      <c r="E186" s="89"/>
    </row>
    <row r="187">
      <c r="A187" s="87"/>
      <c r="B187" s="87"/>
      <c r="C187" s="88"/>
      <c r="E187" s="89"/>
    </row>
    <row r="188">
      <c r="A188" s="87"/>
      <c r="B188" s="87"/>
      <c r="C188" s="88"/>
      <c r="E188" s="89"/>
    </row>
    <row r="189">
      <c r="A189" s="87"/>
      <c r="B189" s="87"/>
      <c r="C189" s="88"/>
      <c r="E189" s="89"/>
    </row>
    <row r="190">
      <c r="A190" s="87"/>
      <c r="B190" s="87"/>
      <c r="C190" s="88"/>
      <c r="E190" s="89"/>
    </row>
    <row r="191">
      <c r="A191" s="87"/>
      <c r="B191" s="87"/>
      <c r="C191" s="88"/>
      <c r="E191" s="89"/>
    </row>
    <row r="192">
      <c r="A192" s="87"/>
      <c r="B192" s="87"/>
      <c r="C192" s="88"/>
      <c r="E192" s="89"/>
    </row>
    <row r="193">
      <c r="A193" s="87"/>
      <c r="B193" s="87"/>
      <c r="C193" s="88"/>
      <c r="E193" s="89"/>
    </row>
    <row r="194">
      <c r="A194" s="87"/>
      <c r="B194" s="87"/>
      <c r="C194" s="88"/>
      <c r="E194" s="89"/>
    </row>
    <row r="195">
      <c r="A195" s="87"/>
      <c r="B195" s="87"/>
      <c r="C195" s="88"/>
      <c r="E195" s="89"/>
    </row>
    <row r="196">
      <c r="A196" s="87"/>
      <c r="B196" s="87"/>
      <c r="C196" s="88"/>
      <c r="E196" s="89"/>
    </row>
    <row r="197">
      <c r="A197" s="87"/>
      <c r="B197" s="87"/>
      <c r="C197" s="88"/>
      <c r="E197" s="89"/>
    </row>
    <row r="198">
      <c r="A198" s="87"/>
      <c r="B198" s="87"/>
      <c r="C198" s="88"/>
      <c r="E198" s="89"/>
    </row>
    <row r="199">
      <c r="A199" s="87"/>
      <c r="B199" s="87"/>
      <c r="C199" s="88"/>
      <c r="E199" s="89"/>
    </row>
    <row r="200">
      <c r="A200" s="87"/>
      <c r="B200" s="87"/>
      <c r="C200" s="88"/>
      <c r="E200" s="89"/>
    </row>
    <row r="201">
      <c r="A201" s="87"/>
      <c r="B201" s="87"/>
      <c r="C201" s="88"/>
      <c r="E201" s="89"/>
    </row>
    <row r="202">
      <c r="A202" s="87"/>
      <c r="B202" s="87"/>
      <c r="C202" s="88"/>
      <c r="E202" s="89"/>
    </row>
    <row r="203">
      <c r="A203" s="87"/>
      <c r="B203" s="87"/>
      <c r="C203" s="88"/>
      <c r="E203" s="89"/>
    </row>
    <row r="204">
      <c r="A204" s="87"/>
      <c r="B204" s="87"/>
      <c r="C204" s="88"/>
      <c r="E204" s="89"/>
    </row>
    <row r="205">
      <c r="A205" s="87"/>
      <c r="B205" s="87"/>
      <c r="C205" s="88"/>
      <c r="E205" s="89"/>
    </row>
    <row r="206">
      <c r="A206" s="87"/>
      <c r="B206" s="87"/>
      <c r="C206" s="88"/>
      <c r="E206" s="89"/>
    </row>
    <row r="207">
      <c r="A207" s="87"/>
      <c r="B207" s="87"/>
      <c r="C207" s="88"/>
      <c r="E207" s="89"/>
    </row>
    <row r="208">
      <c r="A208" s="87"/>
      <c r="B208" s="87"/>
      <c r="C208" s="88"/>
      <c r="E208" s="89"/>
    </row>
    <row r="209">
      <c r="A209" s="87"/>
      <c r="B209" s="87"/>
      <c r="C209" s="88"/>
      <c r="E209" s="89"/>
    </row>
    <row r="210">
      <c r="A210" s="87"/>
      <c r="B210" s="87"/>
      <c r="C210" s="88"/>
      <c r="E210" s="89"/>
    </row>
    <row r="211">
      <c r="A211" s="87"/>
      <c r="B211" s="87"/>
      <c r="C211" s="88"/>
      <c r="E211" s="89"/>
    </row>
    <row r="212">
      <c r="A212" s="87"/>
      <c r="B212" s="87"/>
      <c r="C212" s="88"/>
      <c r="E212" s="89"/>
    </row>
    <row r="213">
      <c r="A213" s="87"/>
      <c r="B213" s="87"/>
      <c r="C213" s="88"/>
      <c r="E213" s="89"/>
    </row>
    <row r="214">
      <c r="A214" s="87"/>
      <c r="B214" s="87"/>
      <c r="C214" s="88"/>
      <c r="E214" s="89"/>
    </row>
    <row r="215">
      <c r="A215" s="87"/>
      <c r="B215" s="87"/>
      <c r="C215" s="88"/>
      <c r="E215" s="89"/>
    </row>
    <row r="216">
      <c r="A216" s="87"/>
      <c r="B216" s="87"/>
      <c r="C216" s="88"/>
      <c r="E216" s="89"/>
    </row>
    <row r="217">
      <c r="A217" s="87"/>
      <c r="B217" s="87"/>
      <c r="C217" s="88"/>
      <c r="E217" s="89"/>
    </row>
    <row r="218">
      <c r="A218" s="87"/>
      <c r="B218" s="87"/>
      <c r="C218" s="88"/>
      <c r="E218" s="89"/>
    </row>
    <row r="219">
      <c r="A219" s="87"/>
      <c r="B219" s="87"/>
      <c r="C219" s="88"/>
      <c r="E219" s="89"/>
    </row>
    <row r="220">
      <c r="A220" s="87"/>
      <c r="B220" s="87"/>
      <c r="C220" s="88"/>
      <c r="E220" s="89"/>
    </row>
    <row r="221">
      <c r="A221" s="87"/>
      <c r="B221" s="87"/>
      <c r="C221" s="88"/>
      <c r="E221" s="89"/>
    </row>
    <row r="222">
      <c r="A222" s="87"/>
      <c r="B222" s="87"/>
      <c r="C222" s="88"/>
      <c r="E222" s="89"/>
    </row>
    <row r="223">
      <c r="A223" s="87"/>
      <c r="B223" s="87"/>
      <c r="C223" s="88"/>
      <c r="E223" s="89"/>
    </row>
    <row r="224">
      <c r="A224" s="87"/>
      <c r="B224" s="87"/>
      <c r="C224" s="88"/>
      <c r="E224" s="89"/>
    </row>
    <row r="225">
      <c r="A225" s="87"/>
      <c r="B225" s="87"/>
      <c r="C225" s="88"/>
      <c r="E225" s="89"/>
    </row>
    <row r="226">
      <c r="A226" s="87"/>
      <c r="B226" s="87"/>
      <c r="C226" s="88"/>
      <c r="E226" s="89"/>
    </row>
    <row r="227">
      <c r="A227" s="87"/>
      <c r="B227" s="87"/>
      <c r="C227" s="88"/>
      <c r="E227" s="89"/>
    </row>
    <row r="228">
      <c r="A228" s="87"/>
      <c r="B228" s="87"/>
      <c r="C228" s="88"/>
      <c r="E228" s="89"/>
    </row>
    <row r="229">
      <c r="A229" s="87"/>
      <c r="B229" s="87"/>
      <c r="C229" s="88"/>
      <c r="E229" s="89"/>
    </row>
    <row r="230">
      <c r="A230" s="87"/>
      <c r="B230" s="87"/>
      <c r="C230" s="88"/>
      <c r="E230" s="89"/>
    </row>
    <row r="231">
      <c r="A231" s="87"/>
      <c r="B231" s="87"/>
      <c r="C231" s="88"/>
      <c r="E231" s="89"/>
    </row>
    <row r="232">
      <c r="A232" s="87"/>
      <c r="B232" s="87"/>
      <c r="C232" s="88"/>
      <c r="E232" s="89"/>
    </row>
    <row r="233">
      <c r="A233" s="87"/>
      <c r="B233" s="87"/>
      <c r="C233" s="88"/>
      <c r="E233" s="89"/>
    </row>
    <row r="234">
      <c r="A234" s="87"/>
      <c r="B234" s="87"/>
      <c r="C234" s="88"/>
      <c r="E234" s="89"/>
    </row>
    <row r="235">
      <c r="A235" s="87"/>
      <c r="B235" s="87"/>
      <c r="C235" s="88"/>
      <c r="E235" s="89"/>
    </row>
    <row r="236">
      <c r="A236" s="87"/>
      <c r="B236" s="87"/>
      <c r="C236" s="88"/>
      <c r="E236" s="89"/>
    </row>
    <row r="237">
      <c r="A237" s="87"/>
      <c r="B237" s="87"/>
      <c r="C237" s="88"/>
      <c r="E237" s="89"/>
    </row>
    <row r="238">
      <c r="A238" s="87"/>
      <c r="B238" s="87"/>
      <c r="C238" s="88"/>
      <c r="E238" s="89"/>
    </row>
    <row r="239">
      <c r="A239" s="87"/>
      <c r="B239" s="87"/>
      <c r="C239" s="88"/>
      <c r="E239" s="89"/>
    </row>
    <row r="240">
      <c r="A240" s="87"/>
      <c r="B240" s="87"/>
      <c r="C240" s="88"/>
      <c r="E240" s="89"/>
    </row>
    <row r="241">
      <c r="A241" s="87"/>
      <c r="B241" s="87"/>
      <c r="C241" s="88"/>
      <c r="E241" s="89"/>
    </row>
    <row r="242">
      <c r="A242" s="87"/>
      <c r="B242" s="87"/>
      <c r="C242" s="88"/>
      <c r="E242" s="89"/>
    </row>
    <row r="243">
      <c r="A243" s="87"/>
      <c r="B243" s="87"/>
      <c r="C243" s="88"/>
      <c r="E243" s="89"/>
    </row>
    <row r="244">
      <c r="A244" s="87"/>
      <c r="B244" s="87"/>
      <c r="C244" s="88"/>
      <c r="E244" s="89"/>
    </row>
    <row r="245">
      <c r="A245" s="87"/>
      <c r="B245" s="87"/>
      <c r="C245" s="88"/>
      <c r="E245" s="89"/>
    </row>
    <row r="246">
      <c r="A246" s="87"/>
      <c r="B246" s="87"/>
      <c r="C246" s="88"/>
      <c r="E246" s="89"/>
    </row>
    <row r="247">
      <c r="A247" s="87"/>
      <c r="B247" s="87"/>
      <c r="C247" s="88"/>
      <c r="E247" s="89"/>
    </row>
    <row r="248">
      <c r="A248" s="87"/>
      <c r="B248" s="87"/>
      <c r="C248" s="88"/>
      <c r="E248" s="89"/>
    </row>
    <row r="249">
      <c r="A249" s="87"/>
      <c r="B249" s="87"/>
      <c r="C249" s="88"/>
      <c r="E249" s="89"/>
    </row>
    <row r="250">
      <c r="A250" s="87"/>
      <c r="B250" s="87"/>
      <c r="C250" s="88"/>
      <c r="E250" s="89"/>
    </row>
    <row r="251">
      <c r="A251" s="87"/>
      <c r="B251" s="87"/>
      <c r="C251" s="88"/>
      <c r="E251" s="89"/>
    </row>
    <row r="252">
      <c r="A252" s="87"/>
      <c r="B252" s="87"/>
      <c r="C252" s="88"/>
      <c r="E252" s="89"/>
    </row>
    <row r="253">
      <c r="A253" s="87"/>
      <c r="B253" s="87"/>
      <c r="C253" s="88"/>
      <c r="E253" s="89"/>
    </row>
    <row r="254">
      <c r="A254" s="87"/>
      <c r="B254" s="87"/>
      <c r="C254" s="88"/>
      <c r="E254" s="89"/>
    </row>
    <row r="255">
      <c r="A255" s="87"/>
      <c r="B255" s="87"/>
      <c r="C255" s="88"/>
      <c r="E255" s="89"/>
    </row>
    <row r="256">
      <c r="A256" s="87"/>
      <c r="B256" s="87"/>
      <c r="C256" s="88"/>
      <c r="E256" s="89"/>
    </row>
    <row r="257">
      <c r="A257" s="87"/>
      <c r="B257" s="87"/>
      <c r="C257" s="88"/>
      <c r="E257" s="89"/>
    </row>
    <row r="258">
      <c r="A258" s="87"/>
      <c r="B258" s="87"/>
      <c r="C258" s="88"/>
      <c r="E258" s="89"/>
    </row>
    <row r="259">
      <c r="A259" s="87"/>
      <c r="B259" s="87"/>
      <c r="C259" s="88"/>
      <c r="E259" s="89"/>
    </row>
    <row r="260">
      <c r="A260" s="87"/>
      <c r="B260" s="87"/>
      <c r="C260" s="88"/>
      <c r="E260" s="89"/>
    </row>
    <row r="261">
      <c r="A261" s="87"/>
      <c r="B261" s="87"/>
      <c r="C261" s="88"/>
      <c r="E261" s="89"/>
    </row>
    <row r="262">
      <c r="A262" s="87"/>
      <c r="B262" s="87"/>
      <c r="C262" s="88"/>
      <c r="E262" s="89"/>
    </row>
    <row r="263">
      <c r="A263" s="87"/>
      <c r="B263" s="87"/>
      <c r="C263" s="88"/>
      <c r="E263" s="89"/>
    </row>
    <row r="264">
      <c r="A264" s="87"/>
      <c r="B264" s="87"/>
      <c r="C264" s="88"/>
      <c r="E264" s="89"/>
    </row>
    <row r="265">
      <c r="A265" s="87"/>
      <c r="B265" s="87"/>
      <c r="C265" s="88"/>
      <c r="E265" s="89"/>
    </row>
    <row r="266">
      <c r="A266" s="87"/>
      <c r="B266" s="87"/>
      <c r="C266" s="88"/>
      <c r="E266" s="89"/>
    </row>
    <row r="267">
      <c r="A267" s="87"/>
      <c r="B267" s="87"/>
      <c r="C267" s="88"/>
      <c r="E267" s="89"/>
    </row>
    <row r="268">
      <c r="A268" s="87"/>
      <c r="B268" s="87"/>
      <c r="C268" s="88"/>
      <c r="E268" s="89"/>
    </row>
    <row r="269">
      <c r="A269" s="87"/>
      <c r="B269" s="87"/>
      <c r="C269" s="88"/>
      <c r="E269" s="89"/>
    </row>
    <row r="270">
      <c r="A270" s="87"/>
      <c r="B270" s="87"/>
      <c r="C270" s="88"/>
      <c r="E270" s="89"/>
    </row>
    <row r="271">
      <c r="A271" s="87"/>
      <c r="B271" s="87"/>
      <c r="C271" s="88"/>
      <c r="E271" s="89"/>
    </row>
    <row r="272">
      <c r="A272" s="87"/>
      <c r="B272" s="87"/>
      <c r="C272" s="88"/>
      <c r="E272" s="89"/>
    </row>
    <row r="273">
      <c r="A273" s="87"/>
      <c r="B273" s="87"/>
      <c r="C273" s="88"/>
      <c r="E273" s="89"/>
    </row>
    <row r="274">
      <c r="A274" s="87"/>
      <c r="B274" s="87"/>
      <c r="C274" s="88"/>
      <c r="E274" s="89"/>
    </row>
    <row r="275">
      <c r="A275" s="87"/>
      <c r="B275" s="87"/>
      <c r="C275" s="88"/>
      <c r="E275" s="89"/>
    </row>
    <row r="276">
      <c r="A276" s="87"/>
      <c r="B276" s="87"/>
      <c r="C276" s="88"/>
      <c r="E276" s="89"/>
    </row>
    <row r="277">
      <c r="A277" s="87"/>
      <c r="B277" s="87"/>
      <c r="C277" s="88"/>
      <c r="E277" s="89"/>
    </row>
    <row r="278">
      <c r="A278" s="87"/>
      <c r="B278" s="87"/>
      <c r="C278" s="88"/>
      <c r="E278" s="89"/>
    </row>
    <row r="279">
      <c r="A279" s="87"/>
      <c r="B279" s="87"/>
      <c r="C279" s="88"/>
      <c r="E279" s="89"/>
    </row>
    <row r="280">
      <c r="A280" s="87"/>
      <c r="B280" s="87"/>
      <c r="C280" s="88"/>
      <c r="E280" s="89"/>
    </row>
    <row r="281">
      <c r="A281" s="87"/>
      <c r="B281" s="87"/>
      <c r="C281" s="88"/>
      <c r="E281" s="89"/>
    </row>
    <row r="282">
      <c r="A282" s="87"/>
      <c r="B282" s="87"/>
      <c r="C282" s="88"/>
      <c r="E282" s="89"/>
    </row>
    <row r="283">
      <c r="A283" s="87"/>
      <c r="B283" s="87"/>
      <c r="C283" s="88"/>
      <c r="E283" s="89"/>
    </row>
    <row r="284">
      <c r="A284" s="87"/>
      <c r="B284" s="87"/>
      <c r="C284" s="88"/>
      <c r="E284" s="89"/>
    </row>
    <row r="285">
      <c r="A285" s="87"/>
      <c r="B285" s="87"/>
      <c r="C285" s="88"/>
      <c r="E285" s="89"/>
    </row>
    <row r="286">
      <c r="A286" s="87"/>
      <c r="B286" s="87"/>
      <c r="C286" s="88"/>
      <c r="E286" s="89"/>
    </row>
    <row r="287">
      <c r="A287" s="87"/>
      <c r="B287" s="87"/>
      <c r="C287" s="88"/>
      <c r="E287" s="89"/>
    </row>
    <row r="288">
      <c r="A288" s="87"/>
      <c r="B288" s="87"/>
      <c r="C288" s="88"/>
      <c r="E288" s="89"/>
    </row>
    <row r="289">
      <c r="A289" s="87"/>
      <c r="B289" s="87"/>
      <c r="C289" s="88"/>
      <c r="E289" s="89"/>
    </row>
    <row r="290">
      <c r="A290" s="87"/>
      <c r="B290" s="87"/>
      <c r="C290" s="88"/>
      <c r="E290" s="89"/>
    </row>
    <row r="291">
      <c r="A291" s="87"/>
      <c r="B291" s="87"/>
      <c r="C291" s="88"/>
      <c r="E291" s="89"/>
    </row>
    <row r="292">
      <c r="A292" s="87"/>
      <c r="B292" s="87"/>
      <c r="C292" s="88"/>
      <c r="E292" s="89"/>
    </row>
    <row r="293">
      <c r="A293" s="87"/>
      <c r="B293" s="87"/>
      <c r="C293" s="88"/>
      <c r="E293" s="89"/>
    </row>
    <row r="294">
      <c r="A294" s="87"/>
      <c r="B294" s="87"/>
      <c r="C294" s="88"/>
      <c r="E294" s="89"/>
    </row>
    <row r="295">
      <c r="A295" s="87"/>
      <c r="B295" s="87"/>
      <c r="C295" s="88"/>
      <c r="E295" s="89"/>
    </row>
    <row r="296">
      <c r="A296" s="87"/>
      <c r="B296" s="87"/>
      <c r="C296" s="88"/>
      <c r="E296" s="89"/>
    </row>
    <row r="297">
      <c r="A297" s="87"/>
      <c r="B297" s="87"/>
      <c r="C297" s="88"/>
      <c r="E297" s="89"/>
    </row>
    <row r="298">
      <c r="A298" s="87"/>
      <c r="B298" s="87"/>
      <c r="C298" s="88"/>
      <c r="E298" s="89"/>
    </row>
    <row r="299">
      <c r="A299" s="87"/>
      <c r="B299" s="87"/>
      <c r="C299" s="88"/>
      <c r="E299" s="89"/>
    </row>
    <row r="300">
      <c r="A300" s="87"/>
      <c r="B300" s="87"/>
      <c r="C300" s="88"/>
      <c r="E300" s="89"/>
    </row>
    <row r="301">
      <c r="A301" s="87"/>
      <c r="B301" s="87"/>
      <c r="C301" s="88"/>
      <c r="E301" s="89"/>
    </row>
    <row r="302">
      <c r="A302" s="87"/>
      <c r="B302" s="87"/>
      <c r="C302" s="88"/>
      <c r="E302" s="89"/>
    </row>
    <row r="303">
      <c r="A303" s="87"/>
      <c r="B303" s="87"/>
      <c r="C303" s="88"/>
      <c r="E303" s="89"/>
    </row>
    <row r="304">
      <c r="A304" s="87"/>
      <c r="B304" s="87"/>
      <c r="C304" s="88"/>
      <c r="E304" s="89"/>
    </row>
    <row r="305">
      <c r="A305" s="87"/>
      <c r="B305" s="87"/>
      <c r="C305" s="88"/>
      <c r="E305" s="89"/>
    </row>
    <row r="306">
      <c r="A306" s="87"/>
      <c r="B306" s="87"/>
      <c r="C306" s="88"/>
      <c r="E306" s="89"/>
    </row>
    <row r="307">
      <c r="A307" s="87"/>
      <c r="B307" s="87"/>
      <c r="C307" s="88"/>
      <c r="E307" s="89"/>
    </row>
    <row r="308">
      <c r="A308" s="87"/>
      <c r="B308" s="87"/>
      <c r="C308" s="88"/>
      <c r="E308" s="89"/>
    </row>
    <row r="309">
      <c r="A309" s="87"/>
      <c r="B309" s="87"/>
      <c r="C309" s="88"/>
      <c r="E309" s="89"/>
    </row>
    <row r="310">
      <c r="A310" s="87"/>
      <c r="B310" s="87"/>
      <c r="C310" s="88"/>
      <c r="E310" s="89"/>
    </row>
    <row r="311">
      <c r="A311" s="87"/>
      <c r="B311" s="87"/>
      <c r="C311" s="88"/>
      <c r="E311" s="89"/>
    </row>
    <row r="312">
      <c r="A312" s="87"/>
      <c r="B312" s="87"/>
      <c r="C312" s="88"/>
      <c r="E312" s="89"/>
    </row>
    <row r="313">
      <c r="A313" s="87"/>
      <c r="B313" s="87"/>
      <c r="C313" s="88"/>
      <c r="E313" s="89"/>
    </row>
    <row r="314">
      <c r="A314" s="87"/>
      <c r="B314" s="87"/>
      <c r="C314" s="88"/>
      <c r="E314" s="89"/>
    </row>
    <row r="315">
      <c r="A315" s="87"/>
      <c r="B315" s="87"/>
      <c r="C315" s="88"/>
      <c r="E315" s="89"/>
    </row>
    <row r="316">
      <c r="A316" s="87"/>
      <c r="B316" s="87"/>
      <c r="C316" s="88"/>
      <c r="E316" s="89"/>
    </row>
    <row r="317">
      <c r="A317" s="87"/>
      <c r="B317" s="87"/>
      <c r="C317" s="88"/>
      <c r="E317" s="89"/>
    </row>
    <row r="318">
      <c r="A318" s="87"/>
      <c r="B318" s="87"/>
      <c r="C318" s="88"/>
      <c r="E318" s="89"/>
    </row>
    <row r="319">
      <c r="A319" s="87"/>
      <c r="B319" s="87"/>
      <c r="C319" s="88"/>
      <c r="E319" s="89"/>
    </row>
    <row r="320">
      <c r="A320" s="87"/>
      <c r="B320" s="87"/>
      <c r="C320" s="88"/>
      <c r="E320" s="89"/>
    </row>
    <row r="321">
      <c r="A321" s="87"/>
      <c r="B321" s="87"/>
      <c r="C321" s="88"/>
      <c r="E321" s="89"/>
    </row>
    <row r="322">
      <c r="A322" s="87"/>
      <c r="B322" s="87"/>
      <c r="C322" s="88"/>
      <c r="E322" s="89"/>
    </row>
    <row r="323">
      <c r="A323" s="87"/>
      <c r="B323" s="87"/>
      <c r="C323" s="88"/>
      <c r="E323" s="89"/>
    </row>
    <row r="324">
      <c r="A324" s="87"/>
      <c r="B324" s="87"/>
      <c r="C324" s="88"/>
      <c r="E324" s="89"/>
    </row>
    <row r="325">
      <c r="A325" s="87"/>
      <c r="B325" s="87"/>
      <c r="C325" s="88"/>
      <c r="E325" s="89"/>
    </row>
    <row r="326">
      <c r="A326" s="87"/>
      <c r="B326" s="87"/>
      <c r="C326" s="88"/>
      <c r="E326" s="89"/>
    </row>
    <row r="327">
      <c r="A327" s="87"/>
      <c r="B327" s="87"/>
      <c r="C327" s="88"/>
      <c r="E327" s="89"/>
    </row>
    <row r="328">
      <c r="A328" s="87"/>
      <c r="B328" s="87"/>
      <c r="C328" s="88"/>
      <c r="E328" s="89"/>
    </row>
    <row r="329">
      <c r="A329" s="87"/>
      <c r="B329" s="87"/>
      <c r="C329" s="88"/>
      <c r="E329" s="89"/>
    </row>
    <row r="330">
      <c r="A330" s="87"/>
      <c r="B330" s="87"/>
      <c r="C330" s="88"/>
      <c r="E330" s="89"/>
    </row>
    <row r="331">
      <c r="A331" s="87"/>
      <c r="B331" s="87"/>
      <c r="C331" s="88"/>
      <c r="E331" s="89"/>
    </row>
    <row r="332">
      <c r="A332" s="87"/>
      <c r="B332" s="87"/>
      <c r="C332" s="88"/>
      <c r="E332" s="89"/>
    </row>
    <row r="333">
      <c r="A333" s="87"/>
      <c r="B333" s="87"/>
      <c r="C333" s="88"/>
      <c r="E333" s="89"/>
    </row>
    <row r="334">
      <c r="A334" s="87"/>
      <c r="B334" s="87"/>
      <c r="C334" s="88"/>
      <c r="E334" s="89"/>
    </row>
    <row r="335">
      <c r="A335" s="87"/>
      <c r="B335" s="87"/>
      <c r="C335" s="88"/>
      <c r="E335" s="89"/>
    </row>
    <row r="336">
      <c r="A336" s="87"/>
      <c r="B336" s="87"/>
      <c r="C336" s="88"/>
      <c r="E336" s="89"/>
    </row>
    <row r="337">
      <c r="A337" s="87"/>
      <c r="B337" s="87"/>
      <c r="C337" s="88"/>
      <c r="E337" s="89"/>
    </row>
    <row r="338">
      <c r="A338" s="87"/>
      <c r="B338" s="87"/>
      <c r="C338" s="88"/>
      <c r="E338" s="89"/>
    </row>
    <row r="339">
      <c r="A339" s="87"/>
      <c r="B339" s="87"/>
      <c r="C339" s="88"/>
      <c r="E339" s="89"/>
    </row>
    <row r="340">
      <c r="A340" s="87"/>
      <c r="B340" s="87"/>
      <c r="C340" s="88"/>
      <c r="E340" s="89"/>
    </row>
    <row r="341">
      <c r="A341" s="87"/>
      <c r="B341" s="87"/>
      <c r="C341" s="88"/>
      <c r="E341" s="89"/>
    </row>
    <row r="342">
      <c r="A342" s="87"/>
      <c r="B342" s="87"/>
      <c r="C342" s="88"/>
      <c r="E342" s="89"/>
    </row>
    <row r="343">
      <c r="A343" s="87"/>
      <c r="B343" s="87"/>
      <c r="C343" s="88"/>
      <c r="E343" s="89"/>
    </row>
    <row r="344">
      <c r="A344" s="87"/>
      <c r="B344" s="87"/>
      <c r="C344" s="88"/>
      <c r="E344" s="89"/>
    </row>
    <row r="345">
      <c r="A345" s="87"/>
      <c r="B345" s="87"/>
      <c r="C345" s="88"/>
      <c r="E345" s="89"/>
    </row>
    <row r="346">
      <c r="A346" s="87"/>
      <c r="B346" s="87"/>
      <c r="C346" s="88"/>
      <c r="E346" s="89"/>
    </row>
    <row r="347">
      <c r="A347" s="87"/>
      <c r="B347" s="87"/>
      <c r="C347" s="88"/>
      <c r="E347" s="89"/>
    </row>
    <row r="348">
      <c r="A348" s="87"/>
      <c r="B348" s="87"/>
      <c r="C348" s="88"/>
      <c r="E348" s="89"/>
    </row>
    <row r="349">
      <c r="A349" s="87"/>
      <c r="B349" s="87"/>
      <c r="C349" s="88"/>
      <c r="E349" s="89"/>
    </row>
    <row r="350">
      <c r="A350" s="87"/>
      <c r="B350" s="87"/>
      <c r="C350" s="88"/>
      <c r="E350" s="89"/>
    </row>
    <row r="351">
      <c r="A351" s="87"/>
      <c r="B351" s="87"/>
      <c r="C351" s="88"/>
      <c r="E351" s="89"/>
    </row>
    <row r="352">
      <c r="A352" s="87"/>
      <c r="B352" s="87"/>
      <c r="C352" s="88"/>
      <c r="E352" s="89"/>
    </row>
    <row r="353">
      <c r="A353" s="87"/>
      <c r="B353" s="87"/>
      <c r="C353" s="88"/>
      <c r="E353" s="89"/>
    </row>
    <row r="354">
      <c r="A354" s="87"/>
      <c r="B354" s="87"/>
      <c r="C354" s="88"/>
      <c r="E354" s="89"/>
    </row>
    <row r="355">
      <c r="A355" s="87"/>
      <c r="B355" s="87"/>
      <c r="C355" s="88"/>
      <c r="E355" s="89"/>
    </row>
    <row r="356">
      <c r="A356" s="87"/>
      <c r="B356" s="87"/>
      <c r="C356" s="88"/>
      <c r="E356" s="89"/>
    </row>
    <row r="357">
      <c r="A357" s="87"/>
      <c r="B357" s="87"/>
      <c r="C357" s="88"/>
      <c r="E357" s="89"/>
    </row>
    <row r="358">
      <c r="A358" s="87"/>
      <c r="B358" s="87"/>
      <c r="C358" s="88"/>
      <c r="E358" s="89"/>
    </row>
    <row r="359">
      <c r="A359" s="87"/>
      <c r="B359" s="87"/>
      <c r="C359" s="88"/>
      <c r="E359" s="89"/>
    </row>
    <row r="360">
      <c r="A360" s="87"/>
      <c r="B360" s="87"/>
      <c r="C360" s="88"/>
      <c r="E360" s="89"/>
    </row>
    <row r="361">
      <c r="A361" s="87"/>
      <c r="B361" s="87"/>
      <c r="C361" s="88"/>
      <c r="E361" s="89"/>
    </row>
    <row r="362">
      <c r="A362" s="87"/>
      <c r="B362" s="87"/>
      <c r="C362" s="88"/>
      <c r="E362" s="89"/>
    </row>
    <row r="363">
      <c r="A363" s="87"/>
      <c r="B363" s="87"/>
      <c r="C363" s="88"/>
      <c r="E363" s="89"/>
    </row>
    <row r="364">
      <c r="A364" s="87"/>
      <c r="B364" s="87"/>
      <c r="C364" s="88"/>
      <c r="E364" s="89"/>
    </row>
    <row r="365">
      <c r="A365" s="87"/>
      <c r="B365" s="87"/>
      <c r="C365" s="88"/>
      <c r="E365" s="89"/>
    </row>
    <row r="366">
      <c r="A366" s="87"/>
      <c r="B366" s="87"/>
      <c r="C366" s="88"/>
      <c r="E366" s="89"/>
    </row>
    <row r="367">
      <c r="A367" s="87"/>
      <c r="B367" s="87"/>
      <c r="C367" s="88"/>
      <c r="E367" s="89"/>
    </row>
    <row r="368">
      <c r="A368" s="87"/>
      <c r="B368" s="87"/>
      <c r="C368" s="88"/>
      <c r="E368" s="89"/>
    </row>
    <row r="369">
      <c r="A369" s="87"/>
      <c r="B369" s="87"/>
      <c r="C369" s="88"/>
      <c r="E369" s="89"/>
    </row>
    <row r="370">
      <c r="A370" s="87"/>
      <c r="B370" s="87"/>
      <c r="C370" s="88"/>
      <c r="E370" s="89"/>
    </row>
    <row r="371">
      <c r="A371" s="87"/>
      <c r="B371" s="87"/>
      <c r="C371" s="88"/>
      <c r="E371" s="89"/>
    </row>
    <row r="372">
      <c r="A372" s="87"/>
      <c r="B372" s="87"/>
      <c r="C372" s="88"/>
      <c r="E372" s="89"/>
    </row>
    <row r="373">
      <c r="A373" s="87"/>
      <c r="B373" s="87"/>
      <c r="C373" s="88"/>
      <c r="E373" s="89"/>
    </row>
    <row r="374">
      <c r="A374" s="87"/>
      <c r="B374" s="87"/>
      <c r="C374" s="88"/>
      <c r="E374" s="89"/>
    </row>
    <row r="375">
      <c r="A375" s="87"/>
      <c r="B375" s="87"/>
      <c r="C375" s="88"/>
      <c r="E375" s="89"/>
    </row>
    <row r="376">
      <c r="A376" s="87"/>
      <c r="B376" s="87"/>
      <c r="C376" s="88"/>
      <c r="E376" s="89"/>
    </row>
    <row r="377">
      <c r="A377" s="87"/>
      <c r="B377" s="87"/>
      <c r="C377" s="88"/>
      <c r="E377" s="89"/>
    </row>
    <row r="378">
      <c r="A378" s="87"/>
      <c r="B378" s="87"/>
      <c r="C378" s="88"/>
      <c r="E378" s="89"/>
    </row>
    <row r="379">
      <c r="A379" s="87"/>
      <c r="B379" s="87"/>
      <c r="C379" s="88"/>
      <c r="E379" s="89"/>
    </row>
    <row r="380">
      <c r="A380" s="87"/>
      <c r="B380" s="87"/>
      <c r="C380" s="88"/>
      <c r="E380" s="89"/>
    </row>
    <row r="381">
      <c r="A381" s="87"/>
      <c r="B381" s="87"/>
      <c r="C381" s="88"/>
      <c r="E381" s="89"/>
    </row>
    <row r="382">
      <c r="A382" s="87"/>
      <c r="B382" s="87"/>
      <c r="C382" s="88"/>
      <c r="E382" s="89"/>
    </row>
    <row r="383">
      <c r="A383" s="87"/>
      <c r="B383" s="87"/>
      <c r="C383" s="88"/>
      <c r="E383" s="89"/>
    </row>
    <row r="384">
      <c r="A384" s="87"/>
      <c r="B384" s="87"/>
      <c r="C384" s="88"/>
      <c r="E384" s="89"/>
    </row>
    <row r="385">
      <c r="A385" s="87"/>
      <c r="B385" s="87"/>
      <c r="C385" s="88"/>
      <c r="E385" s="89"/>
    </row>
    <row r="386">
      <c r="A386" s="87"/>
      <c r="B386" s="87"/>
      <c r="C386" s="88"/>
      <c r="E386" s="89"/>
    </row>
    <row r="387">
      <c r="A387" s="87"/>
      <c r="B387" s="87"/>
      <c r="C387" s="88"/>
      <c r="E387" s="89"/>
    </row>
    <row r="388">
      <c r="A388" s="87"/>
      <c r="B388" s="87"/>
      <c r="C388" s="88"/>
      <c r="E388" s="89"/>
    </row>
    <row r="389">
      <c r="A389" s="87"/>
      <c r="B389" s="87"/>
      <c r="C389" s="88"/>
      <c r="E389" s="89"/>
    </row>
    <row r="390">
      <c r="A390" s="87"/>
      <c r="B390" s="87"/>
      <c r="C390" s="88"/>
      <c r="E390" s="89"/>
    </row>
    <row r="391">
      <c r="A391" s="87"/>
      <c r="B391" s="87"/>
      <c r="C391" s="88"/>
      <c r="E391" s="89"/>
    </row>
    <row r="392">
      <c r="A392" s="87"/>
      <c r="B392" s="87"/>
      <c r="C392" s="88"/>
      <c r="E392" s="89"/>
    </row>
    <row r="393">
      <c r="A393" s="87"/>
      <c r="B393" s="87"/>
      <c r="C393" s="88"/>
      <c r="E393" s="89"/>
    </row>
    <row r="394">
      <c r="A394" s="87"/>
      <c r="B394" s="87"/>
      <c r="C394" s="88"/>
      <c r="E394" s="89"/>
    </row>
    <row r="395">
      <c r="A395" s="87"/>
      <c r="B395" s="87"/>
      <c r="C395" s="88"/>
      <c r="E395" s="89"/>
    </row>
    <row r="396">
      <c r="A396" s="87"/>
      <c r="B396" s="87"/>
      <c r="C396" s="88"/>
      <c r="E396" s="89"/>
    </row>
    <row r="397">
      <c r="A397" s="87"/>
      <c r="B397" s="87"/>
      <c r="C397" s="88"/>
      <c r="E397" s="89"/>
    </row>
    <row r="398">
      <c r="A398" s="87"/>
      <c r="B398" s="87"/>
      <c r="C398" s="88"/>
      <c r="E398" s="89"/>
    </row>
    <row r="399">
      <c r="A399" s="87"/>
      <c r="B399" s="87"/>
      <c r="C399" s="88"/>
      <c r="E399" s="89"/>
    </row>
    <row r="400">
      <c r="A400" s="87"/>
      <c r="B400" s="87"/>
      <c r="C400" s="88"/>
      <c r="E400" s="89"/>
    </row>
    <row r="401">
      <c r="A401" s="87"/>
      <c r="B401" s="87"/>
      <c r="C401" s="88"/>
      <c r="E401" s="89"/>
    </row>
    <row r="402">
      <c r="A402" s="87"/>
      <c r="B402" s="87"/>
      <c r="C402" s="88"/>
      <c r="E402" s="89"/>
    </row>
    <row r="403">
      <c r="A403" s="87"/>
      <c r="B403" s="87"/>
      <c r="C403" s="88"/>
      <c r="E403" s="89"/>
    </row>
    <row r="404">
      <c r="A404" s="87"/>
      <c r="B404" s="87"/>
      <c r="C404" s="88"/>
      <c r="E404" s="89"/>
    </row>
    <row r="405">
      <c r="A405" s="87"/>
      <c r="B405" s="87"/>
      <c r="C405" s="88"/>
      <c r="E405" s="89"/>
    </row>
    <row r="406">
      <c r="A406" s="87"/>
      <c r="B406" s="87"/>
      <c r="C406" s="88"/>
      <c r="E406" s="89"/>
    </row>
    <row r="407">
      <c r="A407" s="87"/>
      <c r="B407" s="87"/>
      <c r="C407" s="88"/>
      <c r="E407" s="89"/>
    </row>
    <row r="408">
      <c r="A408" s="87"/>
      <c r="B408" s="87"/>
      <c r="C408" s="88"/>
      <c r="E408" s="89"/>
    </row>
    <row r="409">
      <c r="A409" s="87"/>
      <c r="B409" s="87"/>
      <c r="C409" s="88"/>
      <c r="E409" s="89"/>
    </row>
    <row r="410">
      <c r="A410" s="87"/>
      <c r="B410" s="87"/>
      <c r="C410" s="88"/>
      <c r="E410" s="89"/>
    </row>
    <row r="411">
      <c r="A411" s="87"/>
      <c r="B411" s="87"/>
      <c r="C411" s="88"/>
      <c r="E411" s="89"/>
    </row>
    <row r="412">
      <c r="A412" s="87"/>
      <c r="B412" s="87"/>
      <c r="C412" s="88"/>
      <c r="E412" s="89"/>
    </row>
    <row r="413">
      <c r="A413" s="87"/>
      <c r="B413" s="87"/>
      <c r="C413" s="88"/>
      <c r="E413" s="89"/>
    </row>
    <row r="414">
      <c r="A414" s="87"/>
      <c r="B414" s="87"/>
      <c r="C414" s="88"/>
      <c r="E414" s="89"/>
    </row>
    <row r="415">
      <c r="A415" s="87"/>
      <c r="B415" s="87"/>
      <c r="C415" s="88"/>
      <c r="E415" s="89"/>
    </row>
    <row r="416">
      <c r="A416" s="87"/>
      <c r="B416" s="87"/>
      <c r="C416" s="88"/>
      <c r="E416" s="89"/>
    </row>
    <row r="417">
      <c r="A417" s="87"/>
      <c r="B417" s="87"/>
      <c r="C417" s="88"/>
      <c r="E417" s="89"/>
    </row>
    <row r="418">
      <c r="A418" s="87"/>
      <c r="B418" s="87"/>
      <c r="C418" s="88"/>
      <c r="E418" s="89"/>
    </row>
    <row r="419">
      <c r="A419" s="87"/>
      <c r="B419" s="87"/>
      <c r="C419" s="88"/>
      <c r="E419" s="89"/>
    </row>
    <row r="420">
      <c r="A420" s="87"/>
      <c r="B420" s="87"/>
      <c r="C420" s="88"/>
      <c r="E420" s="89"/>
    </row>
    <row r="421">
      <c r="A421" s="87"/>
      <c r="B421" s="87"/>
      <c r="C421" s="88"/>
      <c r="E421" s="89"/>
    </row>
    <row r="422">
      <c r="A422" s="87"/>
      <c r="B422" s="87"/>
      <c r="C422" s="88"/>
      <c r="E422" s="89"/>
    </row>
    <row r="423">
      <c r="A423" s="87"/>
      <c r="B423" s="87"/>
      <c r="C423" s="88"/>
      <c r="E423" s="89"/>
    </row>
    <row r="424">
      <c r="A424" s="87"/>
      <c r="B424" s="87"/>
      <c r="C424" s="88"/>
      <c r="E424" s="89"/>
    </row>
    <row r="425">
      <c r="A425" s="87"/>
      <c r="B425" s="87"/>
      <c r="C425" s="88"/>
      <c r="E425" s="89"/>
    </row>
    <row r="426">
      <c r="A426" s="87"/>
      <c r="B426" s="87"/>
      <c r="C426" s="88"/>
      <c r="E426" s="89"/>
    </row>
    <row r="427">
      <c r="A427" s="87"/>
      <c r="B427" s="87"/>
      <c r="C427" s="88"/>
      <c r="E427" s="89"/>
    </row>
    <row r="428">
      <c r="A428" s="87"/>
      <c r="B428" s="87"/>
      <c r="C428" s="88"/>
      <c r="E428" s="89"/>
    </row>
    <row r="429">
      <c r="A429" s="87"/>
      <c r="B429" s="87"/>
      <c r="C429" s="88"/>
      <c r="E429" s="89"/>
    </row>
    <row r="430">
      <c r="A430" s="87"/>
      <c r="B430" s="87"/>
      <c r="C430" s="88"/>
      <c r="E430" s="89"/>
    </row>
    <row r="431">
      <c r="A431" s="87"/>
      <c r="B431" s="87"/>
      <c r="C431" s="88"/>
      <c r="E431" s="89"/>
    </row>
    <row r="432">
      <c r="A432" s="87"/>
      <c r="B432" s="87"/>
      <c r="C432" s="88"/>
      <c r="E432" s="89"/>
    </row>
    <row r="433">
      <c r="A433" s="87"/>
      <c r="B433" s="87"/>
      <c r="C433" s="88"/>
      <c r="E433" s="89"/>
    </row>
    <row r="434">
      <c r="A434" s="87"/>
      <c r="B434" s="87"/>
      <c r="C434" s="88"/>
      <c r="E434" s="89"/>
    </row>
    <row r="435">
      <c r="A435" s="87"/>
      <c r="B435" s="87"/>
      <c r="C435" s="88"/>
      <c r="E435" s="89"/>
    </row>
    <row r="436">
      <c r="A436" s="87"/>
      <c r="B436" s="87"/>
      <c r="C436" s="88"/>
      <c r="E436" s="89"/>
    </row>
    <row r="437">
      <c r="A437" s="87"/>
      <c r="B437" s="87"/>
      <c r="C437" s="88"/>
      <c r="E437" s="89"/>
    </row>
    <row r="438">
      <c r="A438" s="87"/>
      <c r="B438" s="87"/>
      <c r="C438" s="88"/>
      <c r="E438" s="89"/>
    </row>
    <row r="439">
      <c r="A439" s="87"/>
      <c r="B439" s="87"/>
      <c r="C439" s="88"/>
      <c r="E439" s="89"/>
    </row>
    <row r="440">
      <c r="A440" s="87"/>
      <c r="B440" s="87"/>
      <c r="C440" s="88"/>
      <c r="E440" s="89"/>
    </row>
    <row r="441">
      <c r="A441" s="87"/>
      <c r="B441" s="87"/>
      <c r="C441" s="88"/>
      <c r="E441" s="89"/>
    </row>
    <row r="442">
      <c r="A442" s="87"/>
      <c r="B442" s="87"/>
      <c r="C442" s="88"/>
      <c r="E442" s="89"/>
    </row>
    <row r="443">
      <c r="A443" s="87"/>
      <c r="B443" s="87"/>
      <c r="C443" s="88"/>
      <c r="E443" s="89"/>
    </row>
    <row r="444">
      <c r="A444" s="87"/>
      <c r="B444" s="87"/>
      <c r="C444" s="88"/>
      <c r="E444" s="89"/>
    </row>
    <row r="445">
      <c r="A445" s="87"/>
      <c r="B445" s="87"/>
      <c r="C445" s="88"/>
      <c r="E445" s="89"/>
    </row>
    <row r="446">
      <c r="A446" s="87"/>
      <c r="B446" s="87"/>
      <c r="C446" s="88"/>
      <c r="E446" s="89"/>
    </row>
    <row r="447">
      <c r="A447" s="87"/>
      <c r="B447" s="87"/>
      <c r="C447" s="88"/>
      <c r="E447" s="89"/>
    </row>
    <row r="448">
      <c r="A448" s="87"/>
      <c r="B448" s="87"/>
      <c r="C448" s="88"/>
      <c r="E448" s="89"/>
    </row>
    <row r="449">
      <c r="A449" s="87"/>
      <c r="B449" s="87"/>
      <c r="C449" s="88"/>
      <c r="E449" s="89"/>
    </row>
    <row r="450">
      <c r="A450" s="87"/>
      <c r="B450" s="87"/>
      <c r="C450" s="88"/>
      <c r="E450" s="89"/>
    </row>
    <row r="451">
      <c r="A451" s="87"/>
      <c r="B451" s="87"/>
      <c r="C451" s="88"/>
      <c r="E451" s="89"/>
    </row>
    <row r="452">
      <c r="A452" s="87"/>
      <c r="B452" s="87"/>
      <c r="C452" s="88"/>
      <c r="E452" s="89"/>
    </row>
    <row r="453">
      <c r="A453" s="87"/>
      <c r="B453" s="87"/>
      <c r="C453" s="88"/>
      <c r="E453" s="89"/>
    </row>
    <row r="454">
      <c r="A454" s="87"/>
      <c r="B454" s="87"/>
      <c r="C454" s="88"/>
      <c r="E454" s="89"/>
    </row>
    <row r="455">
      <c r="A455" s="87"/>
      <c r="B455" s="87"/>
      <c r="C455" s="88"/>
      <c r="E455" s="89"/>
    </row>
    <row r="456">
      <c r="A456" s="87"/>
      <c r="B456" s="87"/>
      <c r="C456" s="88"/>
      <c r="E456" s="89"/>
    </row>
    <row r="457">
      <c r="A457" s="87"/>
      <c r="B457" s="87"/>
      <c r="C457" s="88"/>
      <c r="E457" s="89"/>
    </row>
    <row r="458">
      <c r="A458" s="87"/>
      <c r="B458" s="87"/>
      <c r="C458" s="88"/>
      <c r="E458" s="89"/>
    </row>
    <row r="459">
      <c r="A459" s="87"/>
      <c r="B459" s="87"/>
      <c r="C459" s="88"/>
      <c r="E459" s="89"/>
    </row>
    <row r="460">
      <c r="A460" s="87"/>
      <c r="B460" s="87"/>
      <c r="C460" s="88"/>
      <c r="E460" s="89"/>
    </row>
    <row r="461">
      <c r="A461" s="87"/>
      <c r="B461" s="87"/>
      <c r="C461" s="88"/>
      <c r="E461" s="89"/>
    </row>
    <row r="462">
      <c r="A462" s="87"/>
      <c r="B462" s="87"/>
      <c r="C462" s="88"/>
      <c r="E462" s="89"/>
    </row>
    <row r="463">
      <c r="A463" s="87"/>
      <c r="B463" s="87"/>
      <c r="C463" s="88"/>
      <c r="E463" s="89"/>
    </row>
    <row r="464">
      <c r="A464" s="87"/>
      <c r="B464" s="87"/>
      <c r="C464" s="88"/>
      <c r="E464" s="89"/>
    </row>
    <row r="465">
      <c r="A465" s="87"/>
      <c r="B465" s="87"/>
      <c r="C465" s="88"/>
      <c r="E465" s="89"/>
    </row>
    <row r="466">
      <c r="A466" s="87"/>
      <c r="B466" s="87"/>
      <c r="C466" s="88"/>
      <c r="E466" s="89"/>
    </row>
    <row r="467">
      <c r="A467" s="87"/>
      <c r="B467" s="87"/>
      <c r="C467" s="88"/>
      <c r="E467" s="89"/>
    </row>
    <row r="468">
      <c r="A468" s="87"/>
      <c r="B468" s="87"/>
      <c r="C468" s="88"/>
      <c r="E468" s="89"/>
    </row>
    <row r="469">
      <c r="A469" s="87"/>
      <c r="B469" s="87"/>
      <c r="C469" s="88"/>
      <c r="E469" s="89"/>
    </row>
    <row r="470">
      <c r="A470" s="87"/>
      <c r="B470" s="87"/>
      <c r="C470" s="88"/>
      <c r="E470" s="89"/>
    </row>
    <row r="471">
      <c r="A471" s="87"/>
      <c r="B471" s="87"/>
      <c r="C471" s="88"/>
      <c r="E471" s="89"/>
    </row>
    <row r="472">
      <c r="A472" s="87"/>
      <c r="B472" s="87"/>
      <c r="C472" s="88"/>
      <c r="E472" s="89"/>
    </row>
    <row r="473">
      <c r="A473" s="87"/>
      <c r="B473" s="87"/>
      <c r="C473" s="88"/>
      <c r="E473" s="89"/>
    </row>
    <row r="474">
      <c r="A474" s="87"/>
      <c r="B474" s="87"/>
      <c r="C474" s="88"/>
      <c r="E474" s="89"/>
    </row>
    <row r="475">
      <c r="A475" s="87"/>
      <c r="B475" s="87"/>
      <c r="C475" s="88"/>
      <c r="E475" s="89"/>
    </row>
    <row r="476">
      <c r="A476" s="87"/>
      <c r="B476" s="87"/>
      <c r="C476" s="88"/>
      <c r="E476" s="89"/>
    </row>
    <row r="477">
      <c r="A477" s="87"/>
      <c r="B477" s="87"/>
      <c r="C477" s="88"/>
      <c r="E477" s="89"/>
    </row>
    <row r="478">
      <c r="A478" s="87"/>
      <c r="B478" s="87"/>
      <c r="C478" s="88"/>
      <c r="E478" s="89"/>
    </row>
    <row r="479">
      <c r="A479" s="87"/>
      <c r="B479" s="87"/>
      <c r="C479" s="88"/>
      <c r="E479" s="89"/>
    </row>
    <row r="480">
      <c r="A480" s="87"/>
      <c r="B480" s="87"/>
      <c r="C480" s="88"/>
      <c r="E480" s="89"/>
    </row>
    <row r="481">
      <c r="A481" s="87"/>
      <c r="B481" s="87"/>
      <c r="C481" s="88"/>
      <c r="E481" s="89"/>
    </row>
    <row r="482">
      <c r="A482" s="87"/>
      <c r="B482" s="87"/>
      <c r="C482" s="88"/>
      <c r="E482" s="89"/>
    </row>
    <row r="483">
      <c r="A483" s="87"/>
      <c r="B483" s="87"/>
      <c r="C483" s="88"/>
      <c r="E483" s="89"/>
    </row>
    <row r="484">
      <c r="A484" s="87"/>
      <c r="B484" s="87"/>
      <c r="C484" s="88"/>
      <c r="E484" s="89"/>
    </row>
    <row r="485">
      <c r="A485" s="87"/>
      <c r="B485" s="87"/>
      <c r="C485" s="88"/>
      <c r="E485" s="89"/>
    </row>
    <row r="486">
      <c r="A486" s="87"/>
      <c r="B486" s="87"/>
      <c r="C486" s="88"/>
      <c r="E486" s="89"/>
    </row>
    <row r="487">
      <c r="A487" s="87"/>
      <c r="B487" s="87"/>
      <c r="C487" s="88"/>
      <c r="E487" s="89"/>
    </row>
    <row r="488">
      <c r="A488" s="87"/>
      <c r="B488" s="87"/>
      <c r="C488" s="88"/>
      <c r="E488" s="89"/>
    </row>
    <row r="489">
      <c r="A489" s="87"/>
      <c r="B489" s="87"/>
      <c r="C489" s="88"/>
      <c r="E489" s="89"/>
    </row>
    <row r="490">
      <c r="A490" s="87"/>
      <c r="B490" s="87"/>
      <c r="C490" s="88"/>
      <c r="E490" s="89"/>
    </row>
    <row r="491">
      <c r="A491" s="87"/>
      <c r="B491" s="87"/>
      <c r="C491" s="88"/>
      <c r="E491" s="89"/>
    </row>
    <row r="492">
      <c r="A492" s="87"/>
      <c r="B492" s="87"/>
      <c r="C492" s="88"/>
      <c r="E492" s="89"/>
    </row>
    <row r="493">
      <c r="A493" s="87"/>
      <c r="B493" s="87"/>
      <c r="C493" s="88"/>
      <c r="E493" s="89"/>
    </row>
    <row r="494">
      <c r="A494" s="87"/>
      <c r="B494" s="87"/>
      <c r="C494" s="88"/>
      <c r="E494" s="89"/>
    </row>
    <row r="495">
      <c r="A495" s="87"/>
      <c r="B495" s="87"/>
      <c r="C495" s="88"/>
      <c r="E495" s="89"/>
    </row>
    <row r="496">
      <c r="A496" s="87"/>
      <c r="B496" s="87"/>
      <c r="C496" s="88"/>
      <c r="E496" s="89"/>
    </row>
    <row r="497">
      <c r="A497" s="87"/>
      <c r="B497" s="87"/>
      <c r="C497" s="88"/>
      <c r="E497" s="89"/>
    </row>
    <row r="498">
      <c r="A498" s="87"/>
      <c r="B498" s="87"/>
      <c r="C498" s="88"/>
      <c r="E498" s="89"/>
    </row>
    <row r="499">
      <c r="A499" s="87"/>
      <c r="B499" s="87"/>
      <c r="C499" s="88"/>
      <c r="E499" s="89"/>
    </row>
    <row r="500">
      <c r="A500" s="87"/>
      <c r="B500" s="87"/>
      <c r="C500" s="88"/>
      <c r="E500" s="89"/>
    </row>
    <row r="501">
      <c r="A501" s="87"/>
      <c r="B501" s="87"/>
      <c r="C501" s="88"/>
      <c r="E501" s="89"/>
    </row>
    <row r="502">
      <c r="A502" s="87"/>
      <c r="B502" s="87"/>
      <c r="C502" s="88"/>
      <c r="E502" s="89"/>
    </row>
    <row r="503">
      <c r="A503" s="87"/>
      <c r="B503" s="87"/>
      <c r="C503" s="88"/>
      <c r="E503" s="89"/>
    </row>
    <row r="504">
      <c r="A504" s="87"/>
      <c r="B504" s="87"/>
      <c r="C504" s="88"/>
      <c r="E504" s="89"/>
    </row>
    <row r="505">
      <c r="A505" s="87"/>
      <c r="B505" s="87"/>
      <c r="C505" s="88"/>
      <c r="E505" s="89"/>
    </row>
    <row r="506">
      <c r="A506" s="87"/>
      <c r="B506" s="87"/>
      <c r="C506" s="88"/>
      <c r="E506" s="89"/>
    </row>
    <row r="507">
      <c r="A507" s="87"/>
      <c r="B507" s="87"/>
      <c r="C507" s="88"/>
      <c r="E507" s="89"/>
    </row>
    <row r="508">
      <c r="A508" s="87"/>
      <c r="B508" s="87"/>
      <c r="C508" s="88"/>
      <c r="E508" s="89"/>
    </row>
    <row r="509">
      <c r="A509" s="87"/>
      <c r="B509" s="87"/>
      <c r="C509" s="88"/>
      <c r="E509" s="89"/>
    </row>
    <row r="510">
      <c r="A510" s="87"/>
      <c r="B510" s="87"/>
      <c r="C510" s="88"/>
      <c r="E510" s="89"/>
    </row>
    <row r="511">
      <c r="A511" s="87"/>
      <c r="B511" s="87"/>
      <c r="C511" s="88"/>
      <c r="E511" s="89"/>
    </row>
    <row r="512">
      <c r="A512" s="87"/>
      <c r="B512" s="87"/>
      <c r="C512" s="88"/>
      <c r="E512" s="89"/>
    </row>
    <row r="513">
      <c r="A513" s="87"/>
      <c r="B513" s="87"/>
      <c r="C513" s="88"/>
      <c r="E513" s="89"/>
    </row>
    <row r="514">
      <c r="A514" s="87"/>
      <c r="B514" s="87"/>
      <c r="C514" s="88"/>
      <c r="E514" s="89"/>
    </row>
    <row r="515">
      <c r="A515" s="87"/>
      <c r="B515" s="87"/>
      <c r="C515" s="88"/>
      <c r="E515" s="89"/>
    </row>
    <row r="516">
      <c r="A516" s="87"/>
      <c r="B516" s="87"/>
      <c r="C516" s="88"/>
      <c r="E516" s="89"/>
    </row>
    <row r="517">
      <c r="A517" s="87"/>
      <c r="B517" s="87"/>
      <c r="C517" s="88"/>
      <c r="E517" s="89"/>
    </row>
    <row r="518">
      <c r="A518" s="87"/>
      <c r="B518" s="87"/>
      <c r="C518" s="88"/>
      <c r="E518" s="89"/>
    </row>
    <row r="519">
      <c r="A519" s="87"/>
      <c r="B519" s="87"/>
      <c r="C519" s="88"/>
      <c r="E519" s="89"/>
    </row>
    <row r="520">
      <c r="A520" s="87"/>
      <c r="B520" s="87"/>
      <c r="C520" s="88"/>
      <c r="E520" s="89"/>
    </row>
    <row r="521">
      <c r="A521" s="87"/>
      <c r="B521" s="87"/>
      <c r="C521" s="88"/>
      <c r="E521" s="89"/>
    </row>
    <row r="522">
      <c r="A522" s="87"/>
      <c r="B522" s="87"/>
      <c r="C522" s="88"/>
      <c r="E522" s="89"/>
    </row>
    <row r="523">
      <c r="A523" s="87"/>
      <c r="B523" s="87"/>
      <c r="C523" s="88"/>
      <c r="E523" s="89"/>
    </row>
    <row r="524">
      <c r="A524" s="87"/>
      <c r="B524" s="87"/>
      <c r="C524" s="88"/>
      <c r="E524" s="89"/>
    </row>
    <row r="525">
      <c r="A525" s="87"/>
      <c r="B525" s="87"/>
      <c r="C525" s="88"/>
      <c r="E525" s="89"/>
    </row>
    <row r="526">
      <c r="A526" s="87"/>
      <c r="B526" s="87"/>
      <c r="C526" s="88"/>
      <c r="E526" s="89"/>
    </row>
    <row r="527">
      <c r="A527" s="87"/>
      <c r="B527" s="87"/>
      <c r="C527" s="88"/>
      <c r="E527" s="89"/>
    </row>
    <row r="528">
      <c r="A528" s="87"/>
      <c r="B528" s="87"/>
      <c r="C528" s="88"/>
      <c r="E528" s="89"/>
    </row>
    <row r="529">
      <c r="A529" s="87"/>
      <c r="B529" s="87"/>
      <c r="C529" s="88"/>
      <c r="E529" s="89"/>
    </row>
    <row r="530">
      <c r="A530" s="87"/>
      <c r="B530" s="87"/>
      <c r="C530" s="88"/>
      <c r="E530" s="89"/>
    </row>
    <row r="531">
      <c r="A531" s="87"/>
      <c r="B531" s="87"/>
      <c r="C531" s="88"/>
      <c r="E531" s="89"/>
    </row>
    <row r="532">
      <c r="A532" s="87"/>
      <c r="B532" s="87"/>
      <c r="C532" s="88"/>
      <c r="E532" s="89"/>
    </row>
    <row r="533">
      <c r="A533" s="87"/>
      <c r="B533" s="87"/>
      <c r="C533" s="88"/>
      <c r="E533" s="89"/>
    </row>
    <row r="534">
      <c r="A534" s="87"/>
      <c r="B534" s="87"/>
      <c r="C534" s="88"/>
      <c r="E534" s="89"/>
    </row>
    <row r="535">
      <c r="A535" s="87"/>
      <c r="B535" s="87"/>
      <c r="C535" s="88"/>
      <c r="E535" s="89"/>
    </row>
    <row r="536">
      <c r="A536" s="87"/>
      <c r="B536" s="87"/>
      <c r="C536" s="88"/>
      <c r="E536" s="89"/>
    </row>
    <row r="537">
      <c r="A537" s="87"/>
      <c r="B537" s="87"/>
      <c r="C537" s="88"/>
      <c r="E537" s="89"/>
    </row>
    <row r="538">
      <c r="A538" s="87"/>
      <c r="B538" s="87"/>
      <c r="C538" s="88"/>
      <c r="E538" s="89"/>
    </row>
    <row r="539">
      <c r="A539" s="87"/>
      <c r="B539" s="87"/>
      <c r="C539" s="88"/>
      <c r="E539" s="89"/>
    </row>
    <row r="540">
      <c r="A540" s="87"/>
      <c r="B540" s="87"/>
      <c r="C540" s="88"/>
      <c r="E540" s="89"/>
    </row>
    <row r="541">
      <c r="A541" s="87"/>
      <c r="B541" s="87"/>
      <c r="C541" s="88"/>
      <c r="E541" s="89"/>
    </row>
    <row r="542">
      <c r="A542" s="87"/>
      <c r="B542" s="87"/>
      <c r="C542" s="88"/>
      <c r="E542" s="89"/>
    </row>
    <row r="543">
      <c r="A543" s="87"/>
      <c r="B543" s="87"/>
      <c r="C543" s="88"/>
      <c r="E543" s="89"/>
    </row>
    <row r="544">
      <c r="A544" s="87"/>
      <c r="B544" s="87"/>
      <c r="C544" s="88"/>
      <c r="E544" s="89"/>
    </row>
    <row r="545">
      <c r="A545" s="87"/>
      <c r="B545" s="87"/>
      <c r="C545" s="88"/>
      <c r="E545" s="89"/>
    </row>
    <row r="546">
      <c r="A546" s="87"/>
      <c r="B546" s="87"/>
      <c r="C546" s="88"/>
      <c r="E546" s="89"/>
    </row>
    <row r="547">
      <c r="A547" s="87"/>
      <c r="B547" s="87"/>
      <c r="C547" s="88"/>
      <c r="E547" s="89"/>
    </row>
    <row r="548">
      <c r="A548" s="87"/>
      <c r="B548" s="87"/>
      <c r="C548" s="88"/>
      <c r="E548" s="89"/>
    </row>
    <row r="549">
      <c r="A549" s="87"/>
      <c r="B549" s="87"/>
      <c r="C549" s="88"/>
      <c r="E549" s="89"/>
    </row>
    <row r="550">
      <c r="A550" s="87"/>
      <c r="B550" s="87"/>
      <c r="C550" s="88"/>
      <c r="E550" s="89"/>
    </row>
    <row r="551">
      <c r="A551" s="87"/>
      <c r="B551" s="87"/>
      <c r="C551" s="88"/>
      <c r="E551" s="89"/>
    </row>
    <row r="552">
      <c r="A552" s="87"/>
      <c r="B552" s="87"/>
      <c r="C552" s="88"/>
      <c r="E552" s="89"/>
    </row>
    <row r="553">
      <c r="A553" s="87"/>
      <c r="B553" s="87"/>
      <c r="C553" s="88"/>
      <c r="E553" s="89"/>
    </row>
    <row r="554">
      <c r="A554" s="87"/>
      <c r="B554" s="87"/>
      <c r="C554" s="88"/>
      <c r="E554" s="89"/>
    </row>
    <row r="555">
      <c r="A555" s="87"/>
      <c r="B555" s="87"/>
      <c r="C555" s="88"/>
      <c r="E555" s="89"/>
    </row>
    <row r="556">
      <c r="A556" s="87"/>
      <c r="B556" s="87"/>
      <c r="C556" s="88"/>
      <c r="E556" s="89"/>
    </row>
    <row r="557">
      <c r="A557" s="87"/>
      <c r="B557" s="87"/>
      <c r="C557" s="88"/>
      <c r="E557" s="89"/>
    </row>
    <row r="558">
      <c r="A558" s="87"/>
      <c r="B558" s="87"/>
      <c r="C558" s="88"/>
      <c r="E558" s="89"/>
    </row>
    <row r="559">
      <c r="A559" s="87"/>
      <c r="B559" s="87"/>
      <c r="C559" s="88"/>
      <c r="E559" s="89"/>
    </row>
    <row r="560">
      <c r="A560" s="87"/>
      <c r="B560" s="87"/>
      <c r="C560" s="88"/>
      <c r="E560" s="89"/>
    </row>
    <row r="561">
      <c r="A561" s="87"/>
      <c r="B561" s="87"/>
      <c r="C561" s="88"/>
      <c r="E561" s="89"/>
    </row>
    <row r="562">
      <c r="A562" s="87"/>
      <c r="B562" s="87"/>
      <c r="C562" s="88"/>
      <c r="E562" s="89"/>
    </row>
    <row r="563">
      <c r="A563" s="87"/>
      <c r="B563" s="87"/>
      <c r="C563" s="88"/>
      <c r="E563" s="89"/>
    </row>
    <row r="564">
      <c r="A564" s="87"/>
      <c r="B564" s="87"/>
      <c r="C564" s="88"/>
      <c r="E564" s="89"/>
    </row>
    <row r="565">
      <c r="A565" s="87"/>
      <c r="B565" s="87"/>
      <c r="C565" s="88"/>
      <c r="E565" s="89"/>
    </row>
    <row r="566">
      <c r="A566" s="87"/>
      <c r="B566" s="87"/>
      <c r="C566" s="88"/>
      <c r="E566" s="89"/>
    </row>
    <row r="567">
      <c r="A567" s="87"/>
      <c r="B567" s="87"/>
      <c r="C567" s="88"/>
      <c r="E567" s="89"/>
    </row>
    <row r="568">
      <c r="A568" s="87"/>
      <c r="B568" s="87"/>
      <c r="C568" s="88"/>
      <c r="E568" s="89"/>
    </row>
    <row r="569">
      <c r="A569" s="87"/>
      <c r="B569" s="87"/>
      <c r="C569" s="88"/>
      <c r="E569" s="89"/>
    </row>
    <row r="570">
      <c r="A570" s="87"/>
      <c r="B570" s="87"/>
      <c r="C570" s="88"/>
      <c r="E570" s="89"/>
    </row>
    <row r="571">
      <c r="A571" s="87"/>
      <c r="B571" s="87"/>
      <c r="C571" s="88"/>
      <c r="E571" s="89"/>
    </row>
    <row r="572">
      <c r="A572" s="87"/>
      <c r="B572" s="87"/>
      <c r="C572" s="88"/>
      <c r="E572" s="89"/>
    </row>
    <row r="573">
      <c r="A573" s="87"/>
      <c r="B573" s="87"/>
      <c r="C573" s="88"/>
      <c r="E573" s="89"/>
    </row>
    <row r="574">
      <c r="A574" s="87"/>
      <c r="B574" s="87"/>
      <c r="C574" s="88"/>
      <c r="E574" s="89"/>
    </row>
    <row r="575">
      <c r="A575" s="87"/>
      <c r="B575" s="87"/>
      <c r="C575" s="88"/>
      <c r="E575" s="89"/>
    </row>
    <row r="576">
      <c r="A576" s="87"/>
      <c r="B576" s="87"/>
      <c r="C576" s="88"/>
      <c r="E576" s="89"/>
    </row>
    <row r="577">
      <c r="A577" s="87"/>
      <c r="B577" s="87"/>
      <c r="C577" s="88"/>
      <c r="E577" s="89"/>
    </row>
    <row r="578">
      <c r="A578" s="87"/>
      <c r="B578" s="87"/>
      <c r="C578" s="88"/>
      <c r="E578" s="89"/>
    </row>
    <row r="579">
      <c r="A579" s="87"/>
      <c r="B579" s="87"/>
      <c r="C579" s="88"/>
      <c r="E579" s="89"/>
    </row>
    <row r="580">
      <c r="A580" s="87"/>
      <c r="B580" s="87"/>
      <c r="C580" s="88"/>
      <c r="E580" s="89"/>
    </row>
    <row r="581">
      <c r="A581" s="87"/>
      <c r="B581" s="87"/>
      <c r="C581" s="88"/>
      <c r="E581" s="89"/>
    </row>
    <row r="582">
      <c r="A582" s="87"/>
      <c r="B582" s="87"/>
      <c r="C582" s="88"/>
      <c r="E582" s="89"/>
    </row>
    <row r="583">
      <c r="A583" s="87"/>
      <c r="B583" s="87"/>
      <c r="C583" s="88"/>
      <c r="E583" s="89"/>
    </row>
    <row r="584">
      <c r="A584" s="87"/>
      <c r="B584" s="87"/>
      <c r="C584" s="88"/>
      <c r="E584" s="89"/>
    </row>
    <row r="585">
      <c r="A585" s="87"/>
      <c r="B585" s="87"/>
      <c r="C585" s="88"/>
      <c r="E585" s="89"/>
    </row>
    <row r="586">
      <c r="A586" s="87"/>
      <c r="B586" s="87"/>
      <c r="C586" s="88"/>
      <c r="E586" s="89"/>
    </row>
    <row r="587">
      <c r="A587" s="87"/>
      <c r="B587" s="87"/>
      <c r="C587" s="88"/>
      <c r="E587" s="89"/>
    </row>
    <row r="588">
      <c r="A588" s="87"/>
      <c r="B588" s="87"/>
      <c r="C588" s="88"/>
      <c r="E588" s="89"/>
    </row>
    <row r="589">
      <c r="A589" s="87"/>
      <c r="B589" s="87"/>
      <c r="C589" s="88"/>
      <c r="E589" s="89"/>
    </row>
    <row r="590">
      <c r="A590" s="87"/>
      <c r="B590" s="87"/>
      <c r="C590" s="88"/>
      <c r="E590" s="89"/>
    </row>
    <row r="591">
      <c r="A591" s="87"/>
      <c r="B591" s="87"/>
      <c r="C591" s="88"/>
      <c r="E591" s="89"/>
    </row>
    <row r="592">
      <c r="A592" s="87"/>
      <c r="B592" s="87"/>
      <c r="C592" s="88"/>
      <c r="E592" s="89"/>
    </row>
    <row r="593">
      <c r="A593" s="87"/>
      <c r="B593" s="87"/>
      <c r="C593" s="88"/>
      <c r="E593" s="89"/>
    </row>
    <row r="594">
      <c r="A594" s="87"/>
      <c r="B594" s="87"/>
      <c r="C594" s="88"/>
      <c r="E594" s="89"/>
    </row>
    <row r="595">
      <c r="A595" s="87"/>
      <c r="B595" s="87"/>
      <c r="C595" s="88"/>
      <c r="E595" s="89"/>
    </row>
    <row r="596">
      <c r="A596" s="87"/>
      <c r="B596" s="87"/>
      <c r="C596" s="88"/>
      <c r="E596" s="89"/>
    </row>
    <row r="597">
      <c r="A597" s="87"/>
      <c r="B597" s="87"/>
      <c r="C597" s="88"/>
      <c r="E597" s="89"/>
    </row>
    <row r="598">
      <c r="A598" s="87"/>
      <c r="B598" s="87"/>
      <c r="C598" s="88"/>
      <c r="E598" s="89"/>
    </row>
    <row r="599">
      <c r="A599" s="87"/>
      <c r="B599" s="87"/>
      <c r="C599" s="88"/>
      <c r="E599" s="89"/>
    </row>
    <row r="600">
      <c r="A600" s="87"/>
      <c r="B600" s="87"/>
      <c r="C600" s="88"/>
      <c r="E600" s="89"/>
    </row>
    <row r="601">
      <c r="A601" s="87"/>
      <c r="B601" s="87"/>
      <c r="C601" s="88"/>
      <c r="E601" s="89"/>
    </row>
    <row r="602">
      <c r="A602" s="87"/>
      <c r="B602" s="87"/>
      <c r="C602" s="88"/>
      <c r="E602" s="89"/>
    </row>
    <row r="603">
      <c r="A603" s="87"/>
      <c r="B603" s="87"/>
      <c r="C603" s="88"/>
      <c r="E603" s="89"/>
    </row>
    <row r="604">
      <c r="A604" s="87"/>
      <c r="B604" s="87"/>
      <c r="C604" s="88"/>
      <c r="E604" s="89"/>
    </row>
    <row r="605">
      <c r="A605" s="87"/>
      <c r="B605" s="87"/>
      <c r="C605" s="88"/>
      <c r="E605" s="89"/>
    </row>
    <row r="606">
      <c r="A606" s="87"/>
      <c r="B606" s="87"/>
      <c r="C606" s="88"/>
      <c r="E606" s="89"/>
    </row>
    <row r="607">
      <c r="A607" s="87"/>
      <c r="B607" s="87"/>
      <c r="C607" s="88"/>
      <c r="E607" s="89"/>
    </row>
    <row r="608">
      <c r="A608" s="87"/>
      <c r="B608" s="87"/>
      <c r="C608" s="88"/>
      <c r="E608" s="89"/>
    </row>
    <row r="609">
      <c r="A609" s="87"/>
      <c r="B609" s="87"/>
      <c r="C609" s="88"/>
      <c r="E609" s="89"/>
    </row>
    <row r="610">
      <c r="A610" s="87"/>
      <c r="B610" s="87"/>
      <c r="C610" s="88"/>
      <c r="E610" s="89"/>
    </row>
    <row r="611">
      <c r="A611" s="87"/>
      <c r="B611" s="87"/>
      <c r="C611" s="88"/>
      <c r="E611" s="89"/>
    </row>
    <row r="612">
      <c r="A612" s="87"/>
      <c r="B612" s="87"/>
      <c r="C612" s="88"/>
      <c r="E612" s="89"/>
    </row>
    <row r="613">
      <c r="A613" s="87"/>
      <c r="B613" s="87"/>
      <c r="C613" s="88"/>
      <c r="E613" s="89"/>
    </row>
    <row r="614">
      <c r="A614" s="87"/>
      <c r="B614" s="87"/>
      <c r="C614" s="88"/>
      <c r="E614" s="89"/>
    </row>
    <row r="615">
      <c r="A615" s="87"/>
      <c r="B615" s="87"/>
      <c r="C615" s="88"/>
      <c r="E615" s="89"/>
    </row>
    <row r="616">
      <c r="A616" s="87"/>
      <c r="B616" s="87"/>
      <c r="C616" s="88"/>
      <c r="E616" s="89"/>
    </row>
    <row r="617">
      <c r="A617" s="87"/>
      <c r="B617" s="87"/>
      <c r="C617" s="88"/>
      <c r="E617" s="89"/>
    </row>
    <row r="618">
      <c r="A618" s="87"/>
      <c r="B618" s="87"/>
      <c r="C618" s="88"/>
      <c r="E618" s="89"/>
    </row>
    <row r="619">
      <c r="A619" s="87"/>
      <c r="B619" s="87"/>
      <c r="C619" s="88"/>
      <c r="E619" s="89"/>
    </row>
    <row r="620">
      <c r="A620" s="87"/>
      <c r="B620" s="87"/>
      <c r="C620" s="88"/>
      <c r="E620" s="89"/>
    </row>
    <row r="621">
      <c r="A621" s="87"/>
      <c r="B621" s="87"/>
      <c r="C621" s="88"/>
      <c r="E621" s="89"/>
    </row>
    <row r="622">
      <c r="A622" s="87"/>
      <c r="B622" s="87"/>
      <c r="C622" s="88"/>
      <c r="E622" s="89"/>
    </row>
    <row r="623">
      <c r="A623" s="87"/>
      <c r="B623" s="87"/>
      <c r="C623" s="88"/>
      <c r="E623" s="89"/>
    </row>
    <row r="624">
      <c r="A624" s="87"/>
      <c r="B624" s="87"/>
      <c r="C624" s="88"/>
      <c r="E624" s="89"/>
    </row>
    <row r="625">
      <c r="A625" s="87"/>
      <c r="B625" s="87"/>
      <c r="C625" s="88"/>
      <c r="E625" s="89"/>
    </row>
    <row r="626">
      <c r="A626" s="87"/>
      <c r="B626" s="87"/>
      <c r="C626" s="88"/>
      <c r="E626" s="89"/>
    </row>
    <row r="627">
      <c r="A627" s="87"/>
      <c r="B627" s="87"/>
      <c r="C627" s="88"/>
      <c r="E627" s="89"/>
    </row>
    <row r="628">
      <c r="A628" s="87"/>
      <c r="B628" s="87"/>
      <c r="C628" s="88"/>
      <c r="E628" s="89"/>
    </row>
    <row r="629">
      <c r="A629" s="87"/>
      <c r="B629" s="87"/>
      <c r="C629" s="88"/>
      <c r="E629" s="89"/>
    </row>
    <row r="630">
      <c r="A630" s="87"/>
      <c r="B630" s="87"/>
      <c r="C630" s="88"/>
      <c r="E630" s="89"/>
    </row>
    <row r="631">
      <c r="A631" s="87"/>
      <c r="B631" s="87"/>
      <c r="C631" s="88"/>
      <c r="E631" s="89"/>
    </row>
    <row r="632">
      <c r="A632" s="87"/>
      <c r="B632" s="87"/>
      <c r="C632" s="88"/>
      <c r="E632" s="89"/>
    </row>
    <row r="633">
      <c r="A633" s="87"/>
      <c r="B633" s="87"/>
      <c r="C633" s="88"/>
      <c r="E633" s="89"/>
    </row>
    <row r="634">
      <c r="A634" s="87"/>
      <c r="B634" s="87"/>
      <c r="C634" s="88"/>
      <c r="E634" s="89"/>
    </row>
    <row r="635">
      <c r="A635" s="87"/>
      <c r="B635" s="87"/>
      <c r="C635" s="88"/>
      <c r="E635" s="89"/>
    </row>
    <row r="636">
      <c r="A636" s="87"/>
      <c r="B636" s="87"/>
      <c r="C636" s="88"/>
      <c r="E636" s="89"/>
    </row>
    <row r="637">
      <c r="A637" s="87"/>
      <c r="B637" s="87"/>
      <c r="C637" s="88"/>
      <c r="E637" s="89"/>
    </row>
    <row r="638">
      <c r="A638" s="87"/>
      <c r="B638" s="87"/>
      <c r="C638" s="88"/>
      <c r="E638" s="89"/>
    </row>
    <row r="639">
      <c r="A639" s="87"/>
      <c r="B639" s="87"/>
      <c r="C639" s="88"/>
      <c r="E639" s="89"/>
    </row>
    <row r="640">
      <c r="A640" s="87"/>
      <c r="B640" s="87"/>
      <c r="C640" s="88"/>
      <c r="E640" s="89"/>
    </row>
    <row r="641">
      <c r="A641" s="87"/>
      <c r="B641" s="87"/>
      <c r="C641" s="88"/>
      <c r="E641" s="89"/>
    </row>
    <row r="642">
      <c r="A642" s="87"/>
      <c r="B642" s="87"/>
      <c r="C642" s="88"/>
      <c r="E642" s="89"/>
    </row>
    <row r="643">
      <c r="A643" s="87"/>
      <c r="B643" s="87"/>
      <c r="C643" s="88"/>
      <c r="E643" s="89"/>
    </row>
    <row r="644">
      <c r="A644" s="87"/>
      <c r="B644" s="87"/>
      <c r="C644" s="88"/>
      <c r="E644" s="89"/>
    </row>
    <row r="645">
      <c r="A645" s="87"/>
      <c r="B645" s="87"/>
      <c r="C645" s="88"/>
      <c r="E645" s="89"/>
    </row>
    <row r="646">
      <c r="A646" s="87"/>
      <c r="B646" s="87"/>
      <c r="C646" s="88"/>
      <c r="E646" s="89"/>
    </row>
    <row r="647">
      <c r="A647" s="87"/>
      <c r="B647" s="87"/>
      <c r="C647" s="88"/>
      <c r="E647" s="89"/>
    </row>
    <row r="648">
      <c r="A648" s="87"/>
      <c r="B648" s="87"/>
      <c r="C648" s="88"/>
      <c r="E648" s="89"/>
    </row>
    <row r="649">
      <c r="A649" s="87"/>
      <c r="B649" s="87"/>
      <c r="C649" s="88"/>
      <c r="E649" s="89"/>
    </row>
    <row r="650">
      <c r="A650" s="87"/>
      <c r="B650" s="87"/>
      <c r="C650" s="88"/>
      <c r="E650" s="89"/>
    </row>
    <row r="651">
      <c r="A651" s="87"/>
      <c r="B651" s="87"/>
      <c r="C651" s="88"/>
      <c r="E651" s="89"/>
    </row>
    <row r="652">
      <c r="A652" s="87"/>
      <c r="B652" s="87"/>
      <c r="C652" s="88"/>
      <c r="E652" s="89"/>
    </row>
    <row r="653">
      <c r="A653" s="87"/>
      <c r="B653" s="87"/>
      <c r="C653" s="88"/>
      <c r="E653" s="89"/>
    </row>
    <row r="654">
      <c r="A654" s="87"/>
      <c r="B654" s="87"/>
      <c r="C654" s="88"/>
      <c r="E654" s="89"/>
    </row>
    <row r="655">
      <c r="A655" s="87"/>
      <c r="B655" s="87"/>
      <c r="C655" s="88"/>
      <c r="E655" s="89"/>
    </row>
    <row r="656">
      <c r="A656" s="87"/>
      <c r="B656" s="87"/>
      <c r="C656" s="88"/>
      <c r="E656" s="89"/>
    </row>
    <row r="657">
      <c r="A657" s="87"/>
      <c r="B657" s="87"/>
      <c r="C657" s="88"/>
      <c r="E657" s="89"/>
    </row>
    <row r="658">
      <c r="A658" s="87"/>
      <c r="B658" s="87"/>
      <c r="C658" s="88"/>
      <c r="E658" s="89"/>
    </row>
    <row r="659">
      <c r="A659" s="87"/>
      <c r="B659" s="87"/>
      <c r="C659" s="88"/>
      <c r="E659" s="89"/>
    </row>
    <row r="660">
      <c r="A660" s="87"/>
      <c r="B660" s="87"/>
      <c r="C660" s="88"/>
      <c r="E660" s="89"/>
    </row>
    <row r="661">
      <c r="A661" s="87"/>
      <c r="B661" s="87"/>
      <c r="C661" s="88"/>
      <c r="E661" s="89"/>
    </row>
    <row r="662">
      <c r="A662" s="87"/>
      <c r="B662" s="87"/>
      <c r="C662" s="88"/>
      <c r="E662" s="89"/>
    </row>
    <row r="663">
      <c r="A663" s="87"/>
      <c r="B663" s="87"/>
      <c r="C663" s="88"/>
      <c r="E663" s="89"/>
    </row>
    <row r="664">
      <c r="A664" s="87"/>
      <c r="B664" s="87"/>
      <c r="C664" s="88"/>
      <c r="E664" s="89"/>
    </row>
    <row r="665">
      <c r="A665" s="87"/>
      <c r="B665" s="87"/>
      <c r="C665" s="88"/>
      <c r="E665" s="89"/>
    </row>
    <row r="666">
      <c r="A666" s="87"/>
      <c r="B666" s="87"/>
      <c r="C666" s="88"/>
      <c r="E666" s="89"/>
    </row>
    <row r="667">
      <c r="A667" s="87"/>
      <c r="B667" s="87"/>
      <c r="C667" s="88"/>
      <c r="E667" s="89"/>
    </row>
    <row r="668">
      <c r="A668" s="87"/>
      <c r="B668" s="87"/>
      <c r="C668" s="88"/>
      <c r="E668" s="89"/>
    </row>
    <row r="669">
      <c r="A669" s="87"/>
      <c r="B669" s="87"/>
      <c r="C669" s="88"/>
      <c r="E669" s="89"/>
    </row>
    <row r="670">
      <c r="A670" s="87"/>
      <c r="B670" s="87"/>
      <c r="C670" s="88"/>
      <c r="E670" s="89"/>
    </row>
    <row r="671">
      <c r="A671" s="87"/>
      <c r="B671" s="87"/>
      <c r="C671" s="88"/>
      <c r="E671" s="89"/>
    </row>
    <row r="672">
      <c r="A672" s="87"/>
      <c r="B672" s="87"/>
      <c r="C672" s="88"/>
      <c r="E672" s="89"/>
    </row>
    <row r="673">
      <c r="A673" s="87"/>
      <c r="B673" s="87"/>
      <c r="C673" s="88"/>
      <c r="E673" s="89"/>
    </row>
    <row r="674">
      <c r="A674" s="87"/>
      <c r="B674" s="87"/>
      <c r="C674" s="88"/>
      <c r="E674" s="89"/>
    </row>
    <row r="675">
      <c r="A675" s="87"/>
      <c r="B675" s="87"/>
      <c r="C675" s="88"/>
      <c r="E675" s="89"/>
    </row>
    <row r="676">
      <c r="A676" s="87"/>
      <c r="B676" s="87"/>
      <c r="C676" s="88"/>
      <c r="E676" s="89"/>
    </row>
    <row r="677">
      <c r="A677" s="87"/>
      <c r="B677" s="87"/>
      <c r="C677" s="88"/>
      <c r="E677" s="89"/>
    </row>
    <row r="678">
      <c r="A678" s="87"/>
      <c r="B678" s="87"/>
      <c r="C678" s="88"/>
      <c r="E678" s="89"/>
    </row>
    <row r="679">
      <c r="A679" s="87"/>
      <c r="B679" s="87"/>
      <c r="C679" s="88"/>
      <c r="E679" s="89"/>
    </row>
    <row r="680">
      <c r="A680" s="87"/>
      <c r="B680" s="87"/>
      <c r="C680" s="88"/>
      <c r="E680" s="89"/>
    </row>
    <row r="681">
      <c r="A681" s="87"/>
      <c r="B681" s="87"/>
      <c r="C681" s="88"/>
      <c r="E681" s="89"/>
    </row>
    <row r="682">
      <c r="A682" s="87"/>
      <c r="B682" s="87"/>
      <c r="C682" s="88"/>
      <c r="E682" s="89"/>
    </row>
    <row r="683">
      <c r="A683" s="87"/>
      <c r="B683" s="87"/>
      <c r="C683" s="88"/>
      <c r="E683" s="89"/>
    </row>
    <row r="684">
      <c r="A684" s="87"/>
      <c r="B684" s="87"/>
      <c r="C684" s="88"/>
      <c r="E684" s="89"/>
    </row>
    <row r="685">
      <c r="A685" s="87"/>
      <c r="B685" s="87"/>
      <c r="C685" s="88"/>
      <c r="E685" s="89"/>
    </row>
    <row r="686">
      <c r="A686" s="87"/>
      <c r="B686" s="87"/>
      <c r="C686" s="88"/>
      <c r="E686" s="89"/>
    </row>
    <row r="687">
      <c r="A687" s="87"/>
      <c r="B687" s="87"/>
      <c r="C687" s="88"/>
      <c r="E687" s="89"/>
    </row>
    <row r="688">
      <c r="A688" s="87"/>
      <c r="B688" s="87"/>
      <c r="C688" s="88"/>
      <c r="E688" s="89"/>
    </row>
    <row r="689">
      <c r="A689" s="87"/>
      <c r="B689" s="87"/>
      <c r="C689" s="88"/>
      <c r="E689" s="89"/>
    </row>
    <row r="690">
      <c r="A690" s="87"/>
      <c r="B690" s="87"/>
      <c r="C690" s="88"/>
      <c r="E690" s="89"/>
    </row>
    <row r="691">
      <c r="A691" s="87"/>
      <c r="B691" s="87"/>
      <c r="C691" s="88"/>
      <c r="E691" s="89"/>
    </row>
    <row r="692">
      <c r="A692" s="87"/>
      <c r="B692" s="87"/>
      <c r="C692" s="88"/>
      <c r="E692" s="89"/>
    </row>
    <row r="693">
      <c r="A693" s="87"/>
      <c r="B693" s="87"/>
      <c r="C693" s="88"/>
      <c r="E693" s="89"/>
    </row>
    <row r="694">
      <c r="A694" s="87"/>
      <c r="B694" s="87"/>
      <c r="C694" s="88"/>
      <c r="E694" s="89"/>
    </row>
    <row r="695">
      <c r="A695" s="87"/>
      <c r="B695" s="87"/>
      <c r="C695" s="88"/>
      <c r="E695" s="89"/>
    </row>
    <row r="696">
      <c r="A696" s="87"/>
      <c r="B696" s="87"/>
      <c r="C696" s="88"/>
      <c r="E696" s="89"/>
    </row>
    <row r="697">
      <c r="A697" s="87"/>
      <c r="B697" s="87"/>
      <c r="C697" s="88"/>
      <c r="E697" s="89"/>
    </row>
    <row r="698">
      <c r="A698" s="87"/>
      <c r="B698" s="87"/>
      <c r="C698" s="88"/>
      <c r="E698" s="89"/>
    </row>
    <row r="699">
      <c r="A699" s="87"/>
      <c r="B699" s="87"/>
      <c r="C699" s="88"/>
      <c r="E699" s="89"/>
    </row>
    <row r="700">
      <c r="A700" s="87"/>
      <c r="B700" s="87"/>
      <c r="C700" s="88"/>
      <c r="E700" s="89"/>
    </row>
    <row r="701">
      <c r="A701" s="87"/>
      <c r="B701" s="87"/>
      <c r="C701" s="88"/>
      <c r="E701" s="89"/>
    </row>
    <row r="702">
      <c r="A702" s="87"/>
      <c r="B702" s="87"/>
      <c r="C702" s="88"/>
      <c r="E702" s="89"/>
    </row>
    <row r="703">
      <c r="A703" s="87"/>
      <c r="B703" s="87"/>
      <c r="C703" s="88"/>
      <c r="E703" s="89"/>
    </row>
    <row r="704">
      <c r="A704" s="87"/>
      <c r="B704" s="87"/>
      <c r="C704" s="88"/>
      <c r="E704" s="89"/>
    </row>
    <row r="705">
      <c r="A705" s="87"/>
      <c r="B705" s="87"/>
      <c r="C705" s="88"/>
      <c r="E705" s="89"/>
    </row>
    <row r="706">
      <c r="A706" s="87"/>
      <c r="B706" s="87"/>
      <c r="C706" s="88"/>
      <c r="E706" s="89"/>
    </row>
    <row r="707">
      <c r="A707" s="87"/>
      <c r="B707" s="87"/>
      <c r="C707" s="88"/>
      <c r="E707" s="89"/>
    </row>
    <row r="708">
      <c r="A708" s="87"/>
      <c r="B708" s="87"/>
      <c r="C708" s="88"/>
      <c r="E708" s="89"/>
    </row>
    <row r="709">
      <c r="A709" s="87"/>
      <c r="B709" s="87"/>
      <c r="C709" s="88"/>
      <c r="E709" s="89"/>
    </row>
    <row r="710">
      <c r="A710" s="87"/>
      <c r="B710" s="87"/>
      <c r="C710" s="88"/>
      <c r="E710" s="89"/>
    </row>
    <row r="711">
      <c r="A711" s="87"/>
      <c r="B711" s="87"/>
      <c r="C711" s="88"/>
      <c r="E711" s="89"/>
    </row>
    <row r="712">
      <c r="A712" s="87"/>
      <c r="B712" s="87"/>
      <c r="C712" s="88"/>
      <c r="E712" s="89"/>
    </row>
    <row r="713">
      <c r="A713" s="87"/>
      <c r="B713" s="87"/>
      <c r="C713" s="88"/>
      <c r="E713" s="89"/>
    </row>
    <row r="714">
      <c r="A714" s="87"/>
      <c r="B714" s="87"/>
      <c r="C714" s="88"/>
      <c r="E714" s="89"/>
    </row>
    <row r="715">
      <c r="A715" s="87"/>
      <c r="B715" s="87"/>
      <c r="C715" s="88"/>
      <c r="E715" s="89"/>
    </row>
    <row r="716">
      <c r="A716" s="87"/>
      <c r="B716" s="87"/>
      <c r="C716" s="88"/>
      <c r="E716" s="89"/>
    </row>
    <row r="717">
      <c r="A717" s="87"/>
      <c r="B717" s="87"/>
      <c r="C717" s="88"/>
      <c r="E717" s="89"/>
    </row>
    <row r="718">
      <c r="A718" s="87"/>
      <c r="B718" s="87"/>
      <c r="C718" s="88"/>
      <c r="E718" s="89"/>
    </row>
    <row r="719">
      <c r="A719" s="87"/>
      <c r="B719" s="87"/>
      <c r="C719" s="88"/>
      <c r="E719" s="89"/>
    </row>
    <row r="720">
      <c r="A720" s="87"/>
      <c r="B720" s="87"/>
      <c r="C720" s="88"/>
      <c r="E720" s="89"/>
    </row>
    <row r="721">
      <c r="A721" s="87"/>
      <c r="B721" s="87"/>
      <c r="C721" s="88"/>
      <c r="E721" s="89"/>
    </row>
    <row r="722">
      <c r="A722" s="87"/>
      <c r="B722" s="87"/>
      <c r="C722" s="88"/>
      <c r="E722" s="89"/>
    </row>
    <row r="723">
      <c r="A723" s="87"/>
      <c r="B723" s="87"/>
      <c r="C723" s="88"/>
      <c r="E723" s="89"/>
    </row>
    <row r="724">
      <c r="A724" s="87"/>
      <c r="B724" s="87"/>
      <c r="C724" s="88"/>
      <c r="E724" s="89"/>
    </row>
    <row r="725">
      <c r="A725" s="87"/>
      <c r="B725" s="87"/>
      <c r="C725" s="88"/>
      <c r="E725" s="89"/>
    </row>
    <row r="726">
      <c r="A726" s="87"/>
      <c r="B726" s="87"/>
      <c r="C726" s="88"/>
      <c r="E726" s="89"/>
    </row>
    <row r="727">
      <c r="A727" s="87"/>
      <c r="B727" s="87"/>
      <c r="C727" s="88"/>
      <c r="E727" s="89"/>
    </row>
    <row r="728">
      <c r="A728" s="87"/>
      <c r="B728" s="87"/>
      <c r="C728" s="88"/>
      <c r="E728" s="89"/>
    </row>
    <row r="729">
      <c r="A729" s="87"/>
      <c r="B729" s="87"/>
      <c r="C729" s="88"/>
      <c r="E729" s="89"/>
    </row>
    <row r="730">
      <c r="A730" s="87"/>
      <c r="B730" s="87"/>
      <c r="C730" s="88"/>
      <c r="E730" s="89"/>
    </row>
    <row r="731">
      <c r="A731" s="87"/>
      <c r="B731" s="87"/>
      <c r="C731" s="88"/>
      <c r="E731" s="89"/>
    </row>
    <row r="732">
      <c r="A732" s="87"/>
      <c r="B732" s="87"/>
      <c r="C732" s="88"/>
      <c r="E732" s="89"/>
    </row>
    <row r="733">
      <c r="A733" s="87"/>
      <c r="B733" s="87"/>
      <c r="C733" s="88"/>
      <c r="E733" s="89"/>
    </row>
    <row r="734">
      <c r="A734" s="87"/>
      <c r="B734" s="87"/>
      <c r="C734" s="88"/>
      <c r="E734" s="89"/>
    </row>
    <row r="735">
      <c r="A735" s="87"/>
      <c r="B735" s="87"/>
      <c r="C735" s="88"/>
      <c r="E735" s="89"/>
    </row>
    <row r="736">
      <c r="A736" s="87"/>
      <c r="B736" s="87"/>
      <c r="C736" s="88"/>
      <c r="E736" s="89"/>
    </row>
    <row r="737">
      <c r="A737" s="87"/>
      <c r="B737" s="87"/>
      <c r="C737" s="88"/>
      <c r="E737" s="89"/>
    </row>
    <row r="738">
      <c r="A738" s="87"/>
      <c r="B738" s="87"/>
      <c r="C738" s="88"/>
      <c r="E738" s="89"/>
    </row>
    <row r="739">
      <c r="A739" s="87"/>
      <c r="B739" s="87"/>
      <c r="C739" s="88"/>
      <c r="E739" s="89"/>
    </row>
    <row r="740">
      <c r="A740" s="87"/>
      <c r="B740" s="87"/>
      <c r="C740" s="88"/>
      <c r="E740" s="89"/>
    </row>
    <row r="741">
      <c r="A741" s="87"/>
      <c r="B741" s="87"/>
      <c r="C741" s="88"/>
      <c r="E741" s="89"/>
    </row>
    <row r="742">
      <c r="A742" s="87"/>
      <c r="B742" s="87"/>
      <c r="C742" s="88"/>
      <c r="E742" s="89"/>
    </row>
    <row r="743">
      <c r="A743" s="87"/>
      <c r="B743" s="87"/>
      <c r="C743" s="88"/>
      <c r="E743" s="89"/>
    </row>
    <row r="744">
      <c r="A744" s="87"/>
      <c r="B744" s="87"/>
      <c r="C744" s="88"/>
      <c r="E744" s="89"/>
    </row>
    <row r="745">
      <c r="A745" s="87"/>
      <c r="B745" s="87"/>
      <c r="C745" s="88"/>
      <c r="E745" s="89"/>
    </row>
    <row r="746">
      <c r="A746" s="87"/>
      <c r="B746" s="87"/>
      <c r="C746" s="88"/>
      <c r="E746" s="89"/>
    </row>
    <row r="747">
      <c r="A747" s="87"/>
      <c r="B747" s="87"/>
      <c r="C747" s="88"/>
      <c r="E747" s="89"/>
    </row>
    <row r="748">
      <c r="A748" s="87"/>
      <c r="B748" s="87"/>
      <c r="C748" s="88"/>
      <c r="E748" s="89"/>
    </row>
    <row r="749">
      <c r="A749" s="87"/>
      <c r="B749" s="87"/>
      <c r="C749" s="88"/>
      <c r="E749" s="89"/>
    </row>
    <row r="750">
      <c r="A750" s="87"/>
      <c r="B750" s="87"/>
      <c r="C750" s="88"/>
      <c r="E750" s="89"/>
    </row>
    <row r="751">
      <c r="A751" s="87"/>
      <c r="B751" s="87"/>
      <c r="C751" s="88"/>
      <c r="E751" s="89"/>
    </row>
    <row r="752">
      <c r="A752" s="87"/>
      <c r="B752" s="87"/>
      <c r="C752" s="88"/>
      <c r="E752" s="89"/>
    </row>
    <row r="753">
      <c r="A753" s="87"/>
      <c r="B753" s="87"/>
      <c r="C753" s="88"/>
      <c r="E753" s="89"/>
    </row>
    <row r="754">
      <c r="A754" s="87"/>
      <c r="B754" s="87"/>
      <c r="C754" s="88"/>
      <c r="E754" s="89"/>
    </row>
    <row r="755">
      <c r="A755" s="87"/>
      <c r="B755" s="87"/>
      <c r="C755" s="88"/>
      <c r="E755" s="89"/>
    </row>
    <row r="756">
      <c r="A756" s="87"/>
      <c r="B756" s="87"/>
      <c r="C756" s="88"/>
      <c r="E756" s="89"/>
    </row>
    <row r="757">
      <c r="A757" s="87"/>
      <c r="B757" s="87"/>
      <c r="C757" s="88"/>
      <c r="E757" s="89"/>
    </row>
    <row r="758">
      <c r="A758" s="87"/>
      <c r="B758" s="87"/>
      <c r="C758" s="88"/>
      <c r="E758" s="89"/>
    </row>
    <row r="759">
      <c r="A759" s="87"/>
      <c r="B759" s="87"/>
      <c r="C759" s="88"/>
      <c r="E759" s="89"/>
    </row>
    <row r="760">
      <c r="A760" s="87"/>
      <c r="B760" s="87"/>
      <c r="C760" s="88"/>
      <c r="E760" s="89"/>
    </row>
    <row r="761">
      <c r="A761" s="87"/>
      <c r="B761" s="87"/>
      <c r="C761" s="88"/>
      <c r="E761" s="89"/>
    </row>
    <row r="762">
      <c r="A762" s="87"/>
      <c r="B762" s="87"/>
      <c r="C762" s="88"/>
      <c r="E762" s="89"/>
    </row>
    <row r="763">
      <c r="A763" s="87"/>
      <c r="B763" s="87"/>
      <c r="C763" s="88"/>
      <c r="E763" s="89"/>
    </row>
    <row r="764">
      <c r="A764" s="87"/>
      <c r="B764" s="87"/>
      <c r="C764" s="88"/>
      <c r="E764" s="89"/>
    </row>
    <row r="765">
      <c r="A765" s="87"/>
      <c r="B765" s="87"/>
      <c r="C765" s="88"/>
      <c r="E765" s="89"/>
    </row>
    <row r="766">
      <c r="A766" s="87"/>
      <c r="B766" s="87"/>
      <c r="C766" s="88"/>
      <c r="E766" s="89"/>
    </row>
    <row r="767">
      <c r="A767" s="87"/>
      <c r="B767" s="87"/>
      <c r="C767" s="88"/>
      <c r="E767" s="89"/>
    </row>
    <row r="768">
      <c r="A768" s="87"/>
      <c r="B768" s="87"/>
      <c r="C768" s="88"/>
      <c r="E768" s="89"/>
    </row>
    <row r="769">
      <c r="A769" s="87"/>
      <c r="B769" s="87"/>
      <c r="C769" s="88"/>
      <c r="E769" s="89"/>
    </row>
    <row r="770">
      <c r="A770" s="87"/>
      <c r="B770" s="87"/>
      <c r="C770" s="88"/>
      <c r="E770" s="89"/>
    </row>
    <row r="771">
      <c r="A771" s="87"/>
      <c r="B771" s="87"/>
      <c r="C771" s="88"/>
      <c r="E771" s="89"/>
    </row>
    <row r="772">
      <c r="A772" s="87"/>
      <c r="B772" s="87"/>
      <c r="C772" s="88"/>
      <c r="E772" s="89"/>
    </row>
    <row r="773">
      <c r="A773" s="87"/>
      <c r="B773" s="87"/>
      <c r="C773" s="88"/>
      <c r="E773" s="89"/>
    </row>
    <row r="774">
      <c r="A774" s="87"/>
      <c r="B774" s="87"/>
      <c r="C774" s="88"/>
      <c r="E774" s="89"/>
    </row>
    <row r="775">
      <c r="A775" s="87"/>
      <c r="B775" s="87"/>
      <c r="C775" s="88"/>
      <c r="E775" s="89"/>
    </row>
    <row r="776">
      <c r="A776" s="87"/>
      <c r="B776" s="87"/>
      <c r="C776" s="88"/>
      <c r="E776" s="89"/>
    </row>
    <row r="777">
      <c r="A777" s="87"/>
      <c r="B777" s="87"/>
      <c r="C777" s="88"/>
      <c r="E777" s="89"/>
    </row>
    <row r="778">
      <c r="A778" s="87"/>
      <c r="B778" s="87"/>
      <c r="C778" s="88"/>
      <c r="E778" s="89"/>
    </row>
    <row r="779">
      <c r="A779" s="87"/>
      <c r="B779" s="87"/>
      <c r="C779" s="88"/>
      <c r="E779" s="89"/>
    </row>
    <row r="780">
      <c r="A780" s="87"/>
      <c r="B780" s="87"/>
      <c r="C780" s="88"/>
      <c r="E780" s="89"/>
    </row>
    <row r="781">
      <c r="A781" s="87"/>
      <c r="B781" s="87"/>
      <c r="C781" s="88"/>
      <c r="E781" s="89"/>
    </row>
    <row r="782">
      <c r="A782" s="87"/>
      <c r="B782" s="87"/>
      <c r="C782" s="88"/>
      <c r="E782" s="89"/>
    </row>
    <row r="783">
      <c r="A783" s="87"/>
      <c r="B783" s="87"/>
      <c r="C783" s="88"/>
      <c r="E783" s="89"/>
    </row>
    <row r="784">
      <c r="A784" s="87"/>
      <c r="B784" s="87"/>
      <c r="C784" s="88"/>
      <c r="E784" s="89"/>
    </row>
    <row r="785">
      <c r="A785" s="87"/>
      <c r="B785" s="87"/>
      <c r="C785" s="88"/>
      <c r="E785" s="89"/>
    </row>
    <row r="786">
      <c r="A786" s="87"/>
      <c r="B786" s="87"/>
      <c r="C786" s="88"/>
      <c r="E786" s="89"/>
    </row>
    <row r="787">
      <c r="A787" s="87"/>
      <c r="B787" s="87"/>
      <c r="C787" s="88"/>
      <c r="E787" s="89"/>
    </row>
    <row r="788">
      <c r="A788" s="87"/>
      <c r="B788" s="87"/>
      <c r="C788" s="88"/>
      <c r="E788" s="89"/>
    </row>
    <row r="789">
      <c r="A789" s="87"/>
      <c r="B789" s="87"/>
      <c r="C789" s="88"/>
      <c r="E789" s="89"/>
    </row>
    <row r="790">
      <c r="A790" s="87"/>
      <c r="B790" s="87"/>
      <c r="C790" s="88"/>
      <c r="E790" s="89"/>
    </row>
    <row r="791">
      <c r="A791" s="87"/>
      <c r="B791" s="87"/>
      <c r="C791" s="88"/>
      <c r="E791" s="89"/>
    </row>
    <row r="792">
      <c r="A792" s="87"/>
      <c r="B792" s="87"/>
      <c r="C792" s="88"/>
      <c r="E792" s="89"/>
    </row>
    <row r="793">
      <c r="A793" s="87"/>
      <c r="B793" s="87"/>
      <c r="C793" s="88"/>
      <c r="E793" s="89"/>
    </row>
    <row r="794">
      <c r="A794" s="87"/>
      <c r="B794" s="87"/>
      <c r="C794" s="88"/>
      <c r="E794" s="89"/>
    </row>
    <row r="795">
      <c r="A795" s="87"/>
      <c r="B795" s="87"/>
      <c r="C795" s="88"/>
      <c r="E795" s="89"/>
    </row>
    <row r="796">
      <c r="A796" s="87"/>
      <c r="B796" s="87"/>
      <c r="C796" s="88"/>
      <c r="E796" s="89"/>
    </row>
    <row r="797">
      <c r="A797" s="87"/>
      <c r="B797" s="87"/>
      <c r="C797" s="88"/>
      <c r="E797" s="89"/>
    </row>
    <row r="798">
      <c r="A798" s="87"/>
      <c r="B798" s="87"/>
      <c r="C798" s="88"/>
      <c r="E798" s="89"/>
    </row>
    <row r="799">
      <c r="A799" s="87"/>
      <c r="B799" s="87"/>
      <c r="C799" s="88"/>
      <c r="E799" s="89"/>
    </row>
    <row r="800">
      <c r="A800" s="87"/>
      <c r="B800" s="87"/>
      <c r="C800" s="88"/>
      <c r="E800" s="89"/>
    </row>
    <row r="801">
      <c r="A801" s="87"/>
      <c r="B801" s="87"/>
      <c r="C801" s="88"/>
      <c r="E801" s="89"/>
    </row>
    <row r="802">
      <c r="A802" s="87"/>
      <c r="B802" s="87"/>
      <c r="C802" s="88"/>
      <c r="E802" s="89"/>
    </row>
    <row r="803">
      <c r="A803" s="87"/>
      <c r="B803" s="87"/>
      <c r="C803" s="88"/>
      <c r="E803" s="89"/>
    </row>
    <row r="804">
      <c r="A804" s="87"/>
      <c r="B804" s="87"/>
      <c r="C804" s="88"/>
      <c r="E804" s="89"/>
    </row>
    <row r="805">
      <c r="A805" s="87"/>
      <c r="B805" s="87"/>
      <c r="C805" s="88"/>
      <c r="E805" s="89"/>
    </row>
    <row r="806">
      <c r="A806" s="87"/>
      <c r="B806" s="87"/>
      <c r="C806" s="88"/>
      <c r="E806" s="89"/>
    </row>
    <row r="807">
      <c r="A807" s="87"/>
      <c r="B807" s="87"/>
      <c r="C807" s="88"/>
      <c r="E807" s="89"/>
    </row>
    <row r="808">
      <c r="A808" s="87"/>
      <c r="B808" s="87"/>
      <c r="C808" s="88"/>
      <c r="E808" s="89"/>
    </row>
    <row r="809">
      <c r="A809" s="87"/>
      <c r="B809" s="87"/>
      <c r="C809" s="88"/>
      <c r="E809" s="89"/>
    </row>
    <row r="810">
      <c r="A810" s="87"/>
      <c r="B810" s="87"/>
      <c r="C810" s="88"/>
      <c r="E810" s="89"/>
    </row>
    <row r="811">
      <c r="A811" s="87"/>
      <c r="B811" s="87"/>
      <c r="C811" s="88"/>
      <c r="E811" s="89"/>
    </row>
    <row r="812">
      <c r="A812" s="87"/>
      <c r="B812" s="87"/>
      <c r="C812" s="88"/>
      <c r="E812" s="89"/>
    </row>
    <row r="813">
      <c r="A813" s="87"/>
      <c r="B813" s="87"/>
      <c r="C813" s="88"/>
      <c r="E813" s="89"/>
    </row>
    <row r="814">
      <c r="A814" s="87"/>
      <c r="B814" s="87"/>
      <c r="C814" s="88"/>
      <c r="E814" s="89"/>
    </row>
    <row r="815">
      <c r="A815" s="87"/>
      <c r="B815" s="87"/>
      <c r="C815" s="88"/>
      <c r="E815" s="89"/>
    </row>
    <row r="816">
      <c r="A816" s="87"/>
      <c r="B816" s="87"/>
      <c r="C816" s="88"/>
      <c r="E816" s="89"/>
    </row>
    <row r="817">
      <c r="A817" s="87"/>
      <c r="B817" s="87"/>
      <c r="C817" s="88"/>
      <c r="E817" s="89"/>
    </row>
    <row r="818">
      <c r="A818" s="87"/>
      <c r="B818" s="87"/>
      <c r="C818" s="88"/>
      <c r="E818" s="89"/>
    </row>
    <row r="819">
      <c r="A819" s="87"/>
      <c r="B819" s="87"/>
      <c r="C819" s="88"/>
      <c r="E819" s="89"/>
    </row>
    <row r="820">
      <c r="A820" s="87"/>
      <c r="B820" s="87"/>
      <c r="C820" s="88"/>
      <c r="E820" s="89"/>
    </row>
    <row r="821">
      <c r="A821" s="87"/>
      <c r="B821" s="87"/>
      <c r="C821" s="88"/>
      <c r="E821" s="89"/>
    </row>
    <row r="822">
      <c r="A822" s="87"/>
      <c r="B822" s="87"/>
      <c r="C822" s="88"/>
      <c r="E822" s="89"/>
    </row>
    <row r="823">
      <c r="A823" s="87"/>
      <c r="B823" s="87"/>
      <c r="C823" s="88"/>
      <c r="E823" s="89"/>
    </row>
    <row r="824">
      <c r="A824" s="87"/>
      <c r="B824" s="87"/>
      <c r="C824" s="88"/>
      <c r="E824" s="89"/>
    </row>
    <row r="825">
      <c r="A825" s="87"/>
      <c r="B825" s="87"/>
      <c r="C825" s="88"/>
      <c r="E825" s="89"/>
    </row>
    <row r="826">
      <c r="A826" s="87"/>
      <c r="B826" s="87"/>
      <c r="C826" s="88"/>
      <c r="E826" s="89"/>
    </row>
    <row r="827">
      <c r="A827" s="87"/>
      <c r="B827" s="87"/>
      <c r="C827" s="88"/>
      <c r="E827" s="89"/>
    </row>
    <row r="828">
      <c r="A828" s="87"/>
      <c r="B828" s="87"/>
      <c r="C828" s="88"/>
      <c r="E828" s="89"/>
    </row>
    <row r="829">
      <c r="A829" s="87"/>
      <c r="B829" s="87"/>
      <c r="C829" s="88"/>
      <c r="E829" s="89"/>
    </row>
    <row r="830">
      <c r="A830" s="87"/>
      <c r="B830" s="87"/>
      <c r="C830" s="88"/>
      <c r="E830" s="89"/>
    </row>
    <row r="831">
      <c r="A831" s="87"/>
      <c r="B831" s="87"/>
      <c r="C831" s="88"/>
      <c r="E831" s="89"/>
    </row>
    <row r="832">
      <c r="A832" s="87"/>
      <c r="B832" s="87"/>
      <c r="C832" s="88"/>
      <c r="E832" s="89"/>
    </row>
    <row r="833">
      <c r="A833" s="87"/>
      <c r="B833" s="87"/>
      <c r="C833" s="88"/>
      <c r="E833" s="89"/>
    </row>
    <row r="834">
      <c r="A834" s="87"/>
      <c r="B834" s="87"/>
      <c r="C834" s="88"/>
      <c r="E834" s="89"/>
    </row>
    <row r="835">
      <c r="A835" s="87"/>
      <c r="B835" s="87"/>
      <c r="C835" s="88"/>
      <c r="E835" s="89"/>
    </row>
    <row r="836">
      <c r="A836" s="87"/>
      <c r="B836" s="87"/>
      <c r="C836" s="88"/>
      <c r="E836" s="89"/>
    </row>
    <row r="837">
      <c r="A837" s="87"/>
      <c r="B837" s="87"/>
      <c r="C837" s="88"/>
      <c r="E837" s="89"/>
    </row>
    <row r="838">
      <c r="A838" s="87"/>
      <c r="B838" s="87"/>
      <c r="C838" s="88"/>
      <c r="E838" s="89"/>
    </row>
    <row r="839">
      <c r="A839" s="87"/>
      <c r="B839" s="87"/>
      <c r="C839" s="88"/>
      <c r="E839" s="89"/>
    </row>
    <row r="840">
      <c r="A840" s="87"/>
      <c r="B840" s="87"/>
      <c r="C840" s="88"/>
      <c r="E840" s="89"/>
    </row>
    <row r="841">
      <c r="A841" s="87"/>
      <c r="B841" s="87"/>
      <c r="C841" s="88"/>
      <c r="E841" s="89"/>
    </row>
    <row r="842">
      <c r="A842" s="87"/>
      <c r="B842" s="87"/>
      <c r="C842" s="88"/>
      <c r="E842" s="89"/>
    </row>
    <row r="843">
      <c r="A843" s="87"/>
      <c r="B843" s="87"/>
      <c r="C843" s="88"/>
      <c r="E843" s="89"/>
    </row>
    <row r="844">
      <c r="A844" s="87"/>
      <c r="B844" s="87"/>
      <c r="C844" s="88"/>
      <c r="E844" s="89"/>
    </row>
    <row r="845">
      <c r="A845" s="87"/>
      <c r="B845" s="87"/>
      <c r="C845" s="88"/>
      <c r="E845" s="89"/>
    </row>
    <row r="846">
      <c r="A846" s="87"/>
      <c r="B846" s="87"/>
      <c r="C846" s="88"/>
      <c r="E846" s="89"/>
    </row>
    <row r="847">
      <c r="A847" s="87"/>
      <c r="B847" s="87"/>
      <c r="C847" s="88"/>
      <c r="E847" s="89"/>
    </row>
    <row r="848">
      <c r="A848" s="87"/>
      <c r="B848" s="87"/>
      <c r="C848" s="88"/>
      <c r="E848" s="89"/>
    </row>
    <row r="849">
      <c r="A849" s="87"/>
      <c r="B849" s="87"/>
      <c r="C849" s="88"/>
      <c r="E849" s="89"/>
    </row>
    <row r="850">
      <c r="A850" s="87"/>
      <c r="B850" s="87"/>
      <c r="C850" s="88"/>
      <c r="E850" s="89"/>
    </row>
    <row r="851">
      <c r="A851" s="87"/>
      <c r="B851" s="87"/>
      <c r="C851" s="88"/>
      <c r="E851" s="89"/>
    </row>
    <row r="852">
      <c r="A852" s="87"/>
      <c r="B852" s="87"/>
      <c r="C852" s="88"/>
      <c r="E852" s="89"/>
    </row>
    <row r="853">
      <c r="A853" s="87"/>
      <c r="B853" s="87"/>
      <c r="C853" s="88"/>
      <c r="E853" s="89"/>
    </row>
    <row r="854">
      <c r="A854" s="87"/>
      <c r="B854" s="87"/>
      <c r="C854" s="88"/>
      <c r="E854" s="89"/>
    </row>
    <row r="855">
      <c r="A855" s="87"/>
      <c r="B855" s="87"/>
      <c r="C855" s="88"/>
      <c r="E855" s="89"/>
    </row>
    <row r="856">
      <c r="A856" s="87"/>
      <c r="B856" s="87"/>
      <c r="C856" s="88"/>
      <c r="E856" s="89"/>
    </row>
    <row r="857">
      <c r="A857" s="87"/>
      <c r="B857" s="87"/>
      <c r="C857" s="88"/>
      <c r="E857" s="89"/>
    </row>
    <row r="858">
      <c r="A858" s="87"/>
      <c r="B858" s="87"/>
      <c r="C858" s="88"/>
      <c r="E858" s="89"/>
    </row>
    <row r="859">
      <c r="A859" s="87"/>
      <c r="B859" s="87"/>
      <c r="C859" s="88"/>
      <c r="E859" s="89"/>
    </row>
    <row r="860">
      <c r="A860" s="87"/>
      <c r="B860" s="87"/>
      <c r="C860" s="88"/>
      <c r="E860" s="89"/>
    </row>
    <row r="861">
      <c r="A861" s="87"/>
      <c r="B861" s="87"/>
      <c r="C861" s="88"/>
      <c r="E861" s="89"/>
    </row>
    <row r="862">
      <c r="A862" s="87"/>
      <c r="B862" s="87"/>
      <c r="C862" s="88"/>
      <c r="E862" s="89"/>
    </row>
    <row r="863">
      <c r="A863" s="87"/>
      <c r="B863" s="87"/>
      <c r="C863" s="88"/>
      <c r="E863" s="89"/>
    </row>
    <row r="864">
      <c r="A864" s="87"/>
      <c r="B864" s="87"/>
      <c r="C864" s="88"/>
      <c r="E864" s="89"/>
    </row>
    <row r="865">
      <c r="A865" s="87"/>
      <c r="B865" s="87"/>
      <c r="C865" s="88"/>
      <c r="E865" s="89"/>
    </row>
  </sheetData>
  <mergeCells count="12">
    <mergeCell ref="I1:I2"/>
    <mergeCell ref="J2:J3"/>
    <mergeCell ref="K2:K3"/>
    <mergeCell ref="L2:L3"/>
    <mergeCell ref="A1:H1"/>
    <mergeCell ref="J1:M1"/>
    <mergeCell ref="A2:A3"/>
    <mergeCell ref="B2:B3"/>
    <mergeCell ref="C2:C3"/>
    <mergeCell ref="D2:D3"/>
    <mergeCell ref="E2:H2"/>
    <mergeCell ref="M2:M3"/>
  </mergeCells>
  <dataValidations>
    <dataValidation type="list" allowBlank="1" sqref="D4:D10 D12:D16">
      <formula1>Data!$A$2:$A$12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3" max="3" width="14.38"/>
    <col customWidth="1" min="4" max="4" width="13.0"/>
    <col customWidth="1" min="5" max="5" width="10.88"/>
    <col customWidth="1" min="6" max="6" width="9.25"/>
    <col customWidth="1" min="7" max="7" width="12.0"/>
    <col customWidth="1" min="9" max="12" width="6.38"/>
  </cols>
  <sheetData>
    <row r="1">
      <c r="A1" s="95" t="s">
        <v>140</v>
      </c>
      <c r="B1" s="5"/>
      <c r="C1" s="5"/>
      <c r="D1" s="5"/>
      <c r="E1" s="5"/>
      <c r="F1" s="5"/>
      <c r="G1" s="6"/>
      <c r="H1" s="96" t="s">
        <v>17</v>
      </c>
      <c r="I1" s="97" t="s">
        <v>18</v>
      </c>
      <c r="J1" s="5"/>
      <c r="K1" s="5"/>
      <c r="L1" s="6"/>
    </row>
    <row r="2">
      <c r="A2" s="96" t="s">
        <v>21</v>
      </c>
      <c r="B2" s="96" t="s">
        <v>22</v>
      </c>
      <c r="C2" s="96" t="s">
        <v>24</v>
      </c>
      <c r="D2" s="98" t="s">
        <v>26</v>
      </c>
      <c r="E2" s="5"/>
      <c r="F2" s="5"/>
      <c r="G2" s="6"/>
      <c r="H2" s="15"/>
      <c r="I2" s="99" t="s">
        <v>29</v>
      </c>
      <c r="J2" s="99" t="s">
        <v>30</v>
      </c>
      <c r="K2" s="99" t="s">
        <v>31</v>
      </c>
      <c r="L2" s="99" t="s">
        <v>32</v>
      </c>
    </row>
    <row r="3">
      <c r="A3" s="15"/>
      <c r="B3" s="15"/>
      <c r="C3" s="15"/>
      <c r="D3" s="100" t="s">
        <v>34</v>
      </c>
      <c r="E3" s="101" t="s">
        <v>35</v>
      </c>
      <c r="F3" s="101" t="s">
        <v>36</v>
      </c>
      <c r="G3" s="101" t="s">
        <v>37</v>
      </c>
      <c r="H3" s="102"/>
      <c r="I3" s="15"/>
      <c r="J3" s="15"/>
      <c r="K3" s="15"/>
      <c r="L3" s="15"/>
    </row>
    <row r="4">
      <c r="A4" s="103">
        <v>1.0</v>
      </c>
      <c r="B4" s="104" t="s">
        <v>16</v>
      </c>
      <c r="C4" s="105"/>
      <c r="D4" s="106">
        <v>3465.0</v>
      </c>
      <c r="E4" s="104"/>
      <c r="F4" s="107">
        <f t="shared" ref="F4:F11" si="1">D4-E4</f>
        <v>3465</v>
      </c>
      <c r="G4" s="104" t="s">
        <v>141</v>
      </c>
      <c r="H4" s="48" t="s">
        <v>142</v>
      </c>
      <c r="I4" s="104" t="s">
        <v>143</v>
      </c>
      <c r="J4" s="104" t="s">
        <v>143</v>
      </c>
      <c r="K4" s="104" t="s">
        <v>143</v>
      </c>
      <c r="L4" s="104" t="s">
        <v>143</v>
      </c>
    </row>
    <row r="5">
      <c r="A5" s="103">
        <v>2.0</v>
      </c>
      <c r="B5" s="104" t="s">
        <v>144</v>
      </c>
      <c r="C5" s="105"/>
      <c r="D5" s="106">
        <v>4250.0</v>
      </c>
      <c r="E5" s="106">
        <v>1000.0</v>
      </c>
      <c r="F5" s="107">
        <f t="shared" si="1"/>
        <v>3250</v>
      </c>
      <c r="G5" s="104"/>
      <c r="H5" s="48" t="s">
        <v>142</v>
      </c>
      <c r="I5" s="104" t="s">
        <v>143</v>
      </c>
      <c r="J5" s="104" t="s">
        <v>143</v>
      </c>
      <c r="K5" s="104" t="s">
        <v>143</v>
      </c>
      <c r="L5" s="104" t="s">
        <v>143</v>
      </c>
    </row>
    <row r="6">
      <c r="A6" s="108">
        <v>3.0</v>
      </c>
      <c r="B6" s="109" t="s">
        <v>145</v>
      </c>
      <c r="C6" s="110"/>
      <c r="D6" s="111">
        <v>4950.0</v>
      </c>
      <c r="E6" s="109">
        <v>4950.0</v>
      </c>
      <c r="F6" s="112">
        <f t="shared" si="1"/>
        <v>0</v>
      </c>
      <c r="G6" s="109"/>
      <c r="H6" s="48" t="s">
        <v>142</v>
      </c>
      <c r="I6" s="109" t="s">
        <v>143</v>
      </c>
      <c r="J6" s="109" t="s">
        <v>143</v>
      </c>
      <c r="K6" s="109" t="s">
        <v>143</v>
      </c>
      <c r="L6" s="109" t="s">
        <v>143</v>
      </c>
    </row>
    <row r="7">
      <c r="A7" s="103">
        <v>4.0</v>
      </c>
      <c r="B7" s="104" t="s">
        <v>23</v>
      </c>
      <c r="C7" s="105"/>
      <c r="D7" s="106">
        <v>4950.0</v>
      </c>
      <c r="E7" s="104">
        <v>4500.0</v>
      </c>
      <c r="F7" s="107">
        <f t="shared" si="1"/>
        <v>450</v>
      </c>
      <c r="G7" s="104"/>
      <c r="H7" s="48" t="s">
        <v>142</v>
      </c>
      <c r="I7" s="104" t="s">
        <v>143</v>
      </c>
      <c r="J7" s="104" t="s">
        <v>143</v>
      </c>
      <c r="K7" s="104" t="s">
        <v>143</v>
      </c>
      <c r="L7" s="104" t="s">
        <v>143</v>
      </c>
    </row>
    <row r="8">
      <c r="A8" s="108">
        <v>5.0</v>
      </c>
      <c r="B8" s="109" t="s">
        <v>146</v>
      </c>
      <c r="C8" s="110"/>
      <c r="D8" s="111">
        <v>4950.0</v>
      </c>
      <c r="E8" s="109">
        <v>4950.0</v>
      </c>
      <c r="F8" s="112">
        <f t="shared" si="1"/>
        <v>0</v>
      </c>
      <c r="G8" s="110"/>
      <c r="H8" s="48" t="s">
        <v>142</v>
      </c>
      <c r="I8" s="109" t="s">
        <v>143</v>
      </c>
      <c r="J8" s="109" t="s">
        <v>143</v>
      </c>
      <c r="K8" s="109" t="s">
        <v>143</v>
      </c>
      <c r="L8" s="109" t="s">
        <v>143</v>
      </c>
    </row>
    <row r="9">
      <c r="A9" s="108">
        <v>6.0</v>
      </c>
      <c r="B9" s="113" t="s">
        <v>147</v>
      </c>
      <c r="C9" s="110"/>
      <c r="D9" s="111">
        <v>4950.0</v>
      </c>
      <c r="E9" s="109">
        <v>4950.0</v>
      </c>
      <c r="F9" s="112">
        <f t="shared" si="1"/>
        <v>0</v>
      </c>
      <c r="G9" s="109"/>
      <c r="H9" s="48" t="s">
        <v>142</v>
      </c>
      <c r="I9" s="109" t="s">
        <v>143</v>
      </c>
      <c r="J9" s="109" t="s">
        <v>143</v>
      </c>
      <c r="K9" s="109" t="s">
        <v>143</v>
      </c>
      <c r="L9" s="109" t="s">
        <v>143</v>
      </c>
    </row>
    <row r="10">
      <c r="A10" s="108">
        <v>7.0</v>
      </c>
      <c r="B10" s="109" t="s">
        <v>148</v>
      </c>
      <c r="C10" s="110"/>
      <c r="D10" s="111">
        <v>4500.0</v>
      </c>
      <c r="E10" s="109">
        <v>4500.0</v>
      </c>
      <c r="F10" s="112">
        <f t="shared" si="1"/>
        <v>0</v>
      </c>
      <c r="G10" s="109" t="s">
        <v>149</v>
      </c>
      <c r="H10" s="48" t="s">
        <v>142</v>
      </c>
      <c r="I10" s="109" t="s">
        <v>143</v>
      </c>
      <c r="J10" s="109" t="s">
        <v>143</v>
      </c>
      <c r="K10" s="109" t="s">
        <v>143</v>
      </c>
      <c r="L10" s="109" t="s">
        <v>143</v>
      </c>
    </row>
    <row r="11">
      <c r="A11" s="108">
        <v>8.0</v>
      </c>
      <c r="B11" s="109" t="s">
        <v>150</v>
      </c>
      <c r="C11" s="110"/>
      <c r="D11" s="111">
        <v>4500.0</v>
      </c>
      <c r="E11" s="109">
        <v>4500.0</v>
      </c>
      <c r="F11" s="112">
        <f t="shared" si="1"/>
        <v>0</v>
      </c>
      <c r="G11" s="109" t="s">
        <v>149</v>
      </c>
      <c r="H11" s="48" t="s">
        <v>142</v>
      </c>
      <c r="I11" s="109" t="s">
        <v>143</v>
      </c>
      <c r="J11" s="109" t="s">
        <v>143</v>
      </c>
      <c r="K11" s="109" t="s">
        <v>143</v>
      </c>
      <c r="L11" s="109" t="s">
        <v>143</v>
      </c>
    </row>
    <row r="12">
      <c r="D12" s="89"/>
      <c r="H12" s="114"/>
    </row>
    <row r="13">
      <c r="B13" s="55" t="s">
        <v>128</v>
      </c>
      <c r="D13" s="89">
        <f>SUM(D4:D12)</f>
        <v>36515</v>
      </c>
      <c r="H13" s="114"/>
    </row>
    <row r="14">
      <c r="D14" s="89"/>
      <c r="H14" s="114"/>
    </row>
    <row r="15">
      <c r="D15" s="89"/>
      <c r="H15" s="114"/>
    </row>
    <row r="16">
      <c r="D16" s="89"/>
      <c r="H16" s="114"/>
    </row>
    <row r="17">
      <c r="D17" s="89"/>
      <c r="H17" s="114"/>
    </row>
    <row r="18">
      <c r="D18" s="89"/>
      <c r="H18" s="114"/>
    </row>
    <row r="19">
      <c r="D19" s="89"/>
      <c r="H19" s="114"/>
    </row>
    <row r="20">
      <c r="D20" s="89"/>
      <c r="H20" s="114"/>
    </row>
    <row r="21">
      <c r="D21" s="89"/>
      <c r="H21" s="114"/>
    </row>
    <row r="22">
      <c r="D22" s="89"/>
      <c r="H22" s="114"/>
    </row>
    <row r="23">
      <c r="D23" s="89"/>
      <c r="H23" s="114"/>
    </row>
    <row r="24">
      <c r="D24" s="89"/>
      <c r="H24" s="114"/>
    </row>
    <row r="25">
      <c r="D25" s="89"/>
      <c r="H25" s="114"/>
    </row>
    <row r="26">
      <c r="D26" s="89"/>
      <c r="H26" s="114"/>
    </row>
    <row r="27">
      <c r="D27" s="89"/>
      <c r="H27" s="114"/>
    </row>
    <row r="28">
      <c r="D28" s="89"/>
      <c r="H28" s="114"/>
    </row>
    <row r="29">
      <c r="D29" s="89"/>
      <c r="H29" s="114"/>
    </row>
    <row r="30">
      <c r="D30" s="89"/>
      <c r="H30" s="114"/>
    </row>
    <row r="31">
      <c r="D31" s="89"/>
      <c r="H31" s="114"/>
    </row>
    <row r="32">
      <c r="D32" s="89"/>
      <c r="H32" s="114"/>
    </row>
    <row r="33">
      <c r="D33" s="89"/>
      <c r="H33" s="114"/>
    </row>
    <row r="34">
      <c r="D34" s="89"/>
      <c r="H34" s="114"/>
    </row>
    <row r="35">
      <c r="D35" s="89"/>
      <c r="H35" s="114"/>
    </row>
    <row r="36">
      <c r="D36" s="89"/>
      <c r="H36" s="114"/>
    </row>
    <row r="37">
      <c r="D37" s="89"/>
      <c r="H37" s="114"/>
    </row>
    <row r="38">
      <c r="D38" s="89"/>
      <c r="H38" s="114"/>
    </row>
    <row r="39">
      <c r="D39" s="89"/>
      <c r="H39" s="114"/>
    </row>
    <row r="40">
      <c r="D40" s="89"/>
      <c r="H40" s="114"/>
    </row>
    <row r="41">
      <c r="D41" s="89"/>
      <c r="H41" s="114"/>
    </row>
    <row r="42">
      <c r="D42" s="89"/>
      <c r="H42" s="114"/>
    </row>
    <row r="43">
      <c r="D43" s="89"/>
      <c r="H43" s="114"/>
    </row>
    <row r="44">
      <c r="D44" s="89"/>
      <c r="H44" s="114"/>
    </row>
    <row r="45">
      <c r="D45" s="89"/>
      <c r="H45" s="114"/>
    </row>
    <row r="46">
      <c r="D46" s="89"/>
      <c r="H46" s="114"/>
    </row>
    <row r="47">
      <c r="D47" s="89"/>
      <c r="H47" s="114"/>
    </row>
    <row r="48">
      <c r="D48" s="89"/>
      <c r="H48" s="114"/>
    </row>
    <row r="49">
      <c r="D49" s="89"/>
      <c r="H49" s="114"/>
    </row>
    <row r="50">
      <c r="D50" s="89"/>
      <c r="H50" s="114"/>
    </row>
    <row r="51">
      <c r="D51" s="89"/>
      <c r="H51" s="114"/>
    </row>
    <row r="52">
      <c r="D52" s="89"/>
      <c r="H52" s="114"/>
    </row>
    <row r="53">
      <c r="D53" s="89"/>
      <c r="H53" s="114"/>
    </row>
    <row r="54">
      <c r="D54" s="89"/>
      <c r="H54" s="114"/>
    </row>
    <row r="55">
      <c r="D55" s="89"/>
      <c r="H55" s="114"/>
    </row>
    <row r="56">
      <c r="D56" s="89"/>
      <c r="H56" s="114"/>
    </row>
    <row r="57">
      <c r="D57" s="89"/>
      <c r="H57" s="114"/>
    </row>
    <row r="58">
      <c r="D58" s="89"/>
      <c r="H58" s="114"/>
    </row>
    <row r="59">
      <c r="D59" s="89"/>
      <c r="H59" s="114"/>
    </row>
    <row r="60">
      <c r="D60" s="89"/>
      <c r="H60" s="114"/>
    </row>
    <row r="61">
      <c r="D61" s="89"/>
      <c r="H61" s="114"/>
    </row>
    <row r="62">
      <c r="D62" s="89"/>
      <c r="H62" s="114"/>
    </row>
    <row r="63">
      <c r="D63" s="89"/>
      <c r="H63" s="114"/>
    </row>
    <row r="64">
      <c r="D64" s="89"/>
      <c r="H64" s="114"/>
    </row>
    <row r="65">
      <c r="D65" s="89"/>
      <c r="H65" s="114"/>
    </row>
    <row r="66">
      <c r="D66" s="89"/>
      <c r="H66" s="114"/>
    </row>
    <row r="67">
      <c r="D67" s="89"/>
      <c r="H67" s="114"/>
    </row>
    <row r="68">
      <c r="D68" s="89"/>
      <c r="H68" s="114"/>
    </row>
    <row r="69">
      <c r="D69" s="89"/>
      <c r="H69" s="114"/>
    </row>
    <row r="70">
      <c r="D70" s="89"/>
      <c r="H70" s="114"/>
    </row>
    <row r="71">
      <c r="D71" s="89"/>
      <c r="H71" s="114"/>
    </row>
    <row r="72">
      <c r="D72" s="89"/>
      <c r="H72" s="114"/>
    </row>
    <row r="73">
      <c r="D73" s="89"/>
      <c r="H73" s="114"/>
    </row>
    <row r="74">
      <c r="D74" s="89"/>
      <c r="H74" s="114"/>
    </row>
    <row r="75">
      <c r="D75" s="89"/>
      <c r="H75" s="114"/>
    </row>
    <row r="76">
      <c r="D76" s="89"/>
      <c r="H76" s="114"/>
    </row>
    <row r="77">
      <c r="D77" s="89"/>
      <c r="H77" s="114"/>
    </row>
    <row r="78">
      <c r="D78" s="89"/>
      <c r="H78" s="114"/>
    </row>
    <row r="79">
      <c r="D79" s="89"/>
      <c r="H79" s="114"/>
    </row>
    <row r="80">
      <c r="D80" s="89"/>
      <c r="H80" s="114"/>
    </row>
    <row r="81">
      <c r="D81" s="89"/>
      <c r="H81" s="114"/>
    </row>
    <row r="82">
      <c r="D82" s="89"/>
      <c r="H82" s="114"/>
    </row>
    <row r="83">
      <c r="D83" s="89"/>
      <c r="H83" s="114"/>
    </row>
    <row r="84">
      <c r="D84" s="89"/>
      <c r="H84" s="114"/>
    </row>
    <row r="85">
      <c r="D85" s="89"/>
      <c r="H85" s="114"/>
    </row>
    <row r="86">
      <c r="D86" s="89"/>
      <c r="H86" s="114"/>
    </row>
    <row r="87">
      <c r="D87" s="89"/>
      <c r="H87" s="114"/>
    </row>
    <row r="88">
      <c r="D88" s="89"/>
      <c r="H88" s="114"/>
    </row>
    <row r="89">
      <c r="D89" s="89"/>
      <c r="H89" s="114"/>
    </row>
    <row r="90">
      <c r="D90" s="89"/>
      <c r="H90" s="114"/>
    </row>
    <row r="91">
      <c r="D91" s="89"/>
      <c r="H91" s="114"/>
    </row>
    <row r="92">
      <c r="D92" s="89"/>
      <c r="H92" s="114"/>
    </row>
    <row r="93">
      <c r="D93" s="89"/>
      <c r="H93" s="114"/>
    </row>
    <row r="94">
      <c r="D94" s="89"/>
      <c r="H94" s="114"/>
    </row>
    <row r="95">
      <c r="D95" s="89"/>
      <c r="H95" s="114"/>
    </row>
    <row r="96">
      <c r="D96" s="89"/>
      <c r="H96" s="114"/>
    </row>
    <row r="97">
      <c r="D97" s="89"/>
      <c r="H97" s="114"/>
    </row>
    <row r="98">
      <c r="D98" s="89"/>
      <c r="H98" s="114"/>
    </row>
    <row r="99">
      <c r="D99" s="89"/>
      <c r="H99" s="114"/>
    </row>
    <row r="100">
      <c r="D100" s="89"/>
      <c r="H100" s="114"/>
    </row>
    <row r="101">
      <c r="D101" s="89"/>
      <c r="H101" s="114"/>
    </row>
    <row r="102">
      <c r="D102" s="89"/>
      <c r="H102" s="114"/>
    </row>
    <row r="103">
      <c r="D103" s="89"/>
      <c r="H103" s="114"/>
    </row>
    <row r="104">
      <c r="D104" s="89"/>
      <c r="H104" s="114"/>
    </row>
    <row r="105">
      <c r="D105" s="89"/>
      <c r="H105" s="114"/>
    </row>
    <row r="106">
      <c r="D106" s="89"/>
      <c r="H106" s="114"/>
    </row>
    <row r="107">
      <c r="D107" s="89"/>
      <c r="H107" s="114"/>
    </row>
    <row r="108">
      <c r="D108" s="89"/>
      <c r="H108" s="114"/>
    </row>
    <row r="109">
      <c r="D109" s="89"/>
      <c r="H109" s="114"/>
    </row>
    <row r="110">
      <c r="D110" s="89"/>
      <c r="H110" s="114"/>
    </row>
    <row r="111">
      <c r="D111" s="89"/>
      <c r="H111" s="114"/>
    </row>
    <row r="112">
      <c r="D112" s="89"/>
      <c r="H112" s="114"/>
    </row>
    <row r="113">
      <c r="D113" s="89"/>
      <c r="H113" s="114"/>
    </row>
    <row r="114">
      <c r="D114" s="89"/>
      <c r="H114" s="114"/>
    </row>
    <row r="115">
      <c r="D115" s="89"/>
      <c r="H115" s="114"/>
    </row>
    <row r="116">
      <c r="D116" s="89"/>
      <c r="H116" s="114"/>
    </row>
    <row r="117">
      <c r="D117" s="89"/>
      <c r="H117" s="114"/>
    </row>
    <row r="118">
      <c r="D118" s="89"/>
      <c r="H118" s="114"/>
    </row>
    <row r="119">
      <c r="D119" s="89"/>
      <c r="H119" s="114"/>
    </row>
    <row r="120">
      <c r="D120" s="89"/>
      <c r="H120" s="114"/>
    </row>
    <row r="121">
      <c r="D121" s="89"/>
      <c r="H121" s="114"/>
    </row>
    <row r="122">
      <c r="D122" s="89"/>
      <c r="H122" s="114"/>
    </row>
    <row r="123">
      <c r="D123" s="89"/>
      <c r="H123" s="114"/>
    </row>
    <row r="124">
      <c r="D124" s="89"/>
      <c r="H124" s="114"/>
    </row>
    <row r="125">
      <c r="D125" s="89"/>
      <c r="H125" s="114"/>
    </row>
    <row r="126">
      <c r="D126" s="89"/>
      <c r="H126" s="114"/>
    </row>
    <row r="127">
      <c r="D127" s="89"/>
      <c r="H127" s="114"/>
    </row>
    <row r="128">
      <c r="D128" s="89"/>
      <c r="H128" s="114"/>
    </row>
    <row r="129">
      <c r="D129" s="89"/>
      <c r="H129" s="114"/>
    </row>
    <row r="130">
      <c r="D130" s="89"/>
      <c r="H130" s="114"/>
    </row>
    <row r="131">
      <c r="D131" s="89"/>
      <c r="H131" s="114"/>
    </row>
    <row r="132">
      <c r="D132" s="89"/>
      <c r="H132" s="114"/>
    </row>
    <row r="133">
      <c r="D133" s="89"/>
      <c r="H133" s="114"/>
    </row>
    <row r="134">
      <c r="D134" s="89"/>
      <c r="H134" s="114"/>
    </row>
    <row r="135">
      <c r="D135" s="89"/>
      <c r="H135" s="114"/>
    </row>
    <row r="136">
      <c r="D136" s="89"/>
      <c r="H136" s="114"/>
    </row>
    <row r="137">
      <c r="D137" s="89"/>
      <c r="H137" s="114"/>
    </row>
    <row r="138">
      <c r="D138" s="89"/>
      <c r="H138" s="114"/>
    </row>
    <row r="139">
      <c r="D139" s="89"/>
      <c r="H139" s="114"/>
    </row>
    <row r="140">
      <c r="D140" s="89"/>
      <c r="H140" s="114"/>
    </row>
    <row r="141">
      <c r="D141" s="89"/>
      <c r="H141" s="114"/>
    </row>
    <row r="142">
      <c r="D142" s="89"/>
      <c r="H142" s="114"/>
    </row>
    <row r="143">
      <c r="D143" s="89"/>
      <c r="H143" s="114"/>
    </row>
    <row r="144">
      <c r="D144" s="89"/>
      <c r="H144" s="114"/>
    </row>
    <row r="145">
      <c r="D145" s="89"/>
      <c r="H145" s="114"/>
    </row>
    <row r="146">
      <c r="D146" s="89"/>
      <c r="H146" s="114"/>
    </row>
    <row r="147">
      <c r="D147" s="89"/>
      <c r="H147" s="114"/>
    </row>
    <row r="148">
      <c r="D148" s="89"/>
      <c r="H148" s="114"/>
    </row>
    <row r="149">
      <c r="D149" s="89"/>
      <c r="H149" s="114"/>
    </row>
    <row r="150">
      <c r="D150" s="89"/>
      <c r="H150" s="114"/>
    </row>
    <row r="151">
      <c r="D151" s="89"/>
      <c r="H151" s="114"/>
    </row>
    <row r="152">
      <c r="D152" s="89"/>
      <c r="H152" s="114"/>
    </row>
    <row r="153">
      <c r="D153" s="89"/>
      <c r="H153" s="114"/>
    </row>
    <row r="154">
      <c r="D154" s="89"/>
      <c r="H154" s="114"/>
    </row>
    <row r="155">
      <c r="D155" s="89"/>
      <c r="H155" s="114"/>
    </row>
    <row r="156">
      <c r="D156" s="89"/>
      <c r="H156" s="114"/>
    </row>
    <row r="157">
      <c r="D157" s="89"/>
      <c r="H157" s="114"/>
    </row>
    <row r="158">
      <c r="D158" s="89"/>
      <c r="H158" s="114"/>
    </row>
    <row r="159">
      <c r="D159" s="89"/>
      <c r="H159" s="114"/>
    </row>
    <row r="160">
      <c r="D160" s="89"/>
      <c r="H160" s="114"/>
    </row>
    <row r="161">
      <c r="D161" s="89"/>
      <c r="H161" s="114"/>
    </row>
    <row r="162">
      <c r="D162" s="89"/>
      <c r="H162" s="114"/>
    </row>
    <row r="163">
      <c r="D163" s="89"/>
      <c r="H163" s="114"/>
    </row>
    <row r="164">
      <c r="D164" s="89"/>
      <c r="H164" s="114"/>
    </row>
    <row r="165">
      <c r="D165" s="89"/>
      <c r="H165" s="114"/>
    </row>
    <row r="166">
      <c r="D166" s="89"/>
      <c r="H166" s="114"/>
    </row>
    <row r="167">
      <c r="D167" s="89"/>
      <c r="H167" s="114"/>
    </row>
    <row r="168">
      <c r="D168" s="89"/>
      <c r="H168" s="114"/>
    </row>
    <row r="169">
      <c r="D169" s="89"/>
      <c r="H169" s="114"/>
    </row>
    <row r="170">
      <c r="D170" s="89"/>
      <c r="H170" s="114"/>
    </row>
    <row r="171">
      <c r="D171" s="89"/>
      <c r="H171" s="114"/>
    </row>
    <row r="172">
      <c r="D172" s="89"/>
      <c r="H172" s="114"/>
    </row>
    <row r="173">
      <c r="D173" s="89"/>
      <c r="H173" s="114"/>
    </row>
    <row r="174">
      <c r="D174" s="89"/>
      <c r="H174" s="114"/>
    </row>
    <row r="175">
      <c r="D175" s="89"/>
      <c r="H175" s="114"/>
    </row>
    <row r="176">
      <c r="D176" s="89"/>
      <c r="H176" s="114"/>
    </row>
    <row r="177">
      <c r="D177" s="89"/>
      <c r="H177" s="114"/>
    </row>
    <row r="178">
      <c r="D178" s="89"/>
      <c r="H178" s="114"/>
    </row>
    <row r="179">
      <c r="D179" s="89"/>
      <c r="H179" s="114"/>
    </row>
    <row r="180">
      <c r="D180" s="89"/>
      <c r="H180" s="114"/>
    </row>
    <row r="181">
      <c r="D181" s="89"/>
      <c r="H181" s="114"/>
    </row>
    <row r="182">
      <c r="D182" s="89"/>
      <c r="H182" s="114"/>
    </row>
    <row r="183">
      <c r="D183" s="89"/>
      <c r="H183" s="114"/>
    </row>
    <row r="184">
      <c r="D184" s="89"/>
      <c r="H184" s="114"/>
    </row>
    <row r="185">
      <c r="D185" s="89"/>
      <c r="H185" s="114"/>
    </row>
    <row r="186">
      <c r="D186" s="89"/>
      <c r="H186" s="114"/>
    </row>
    <row r="187">
      <c r="D187" s="89"/>
      <c r="H187" s="114"/>
    </row>
    <row r="188">
      <c r="D188" s="89"/>
      <c r="H188" s="114"/>
    </row>
    <row r="189">
      <c r="D189" s="89"/>
      <c r="H189" s="114"/>
    </row>
    <row r="190">
      <c r="D190" s="89"/>
      <c r="H190" s="114"/>
    </row>
    <row r="191">
      <c r="D191" s="89"/>
      <c r="H191" s="114"/>
    </row>
    <row r="192">
      <c r="D192" s="89"/>
      <c r="H192" s="114"/>
    </row>
    <row r="193">
      <c r="D193" s="89"/>
      <c r="H193" s="114"/>
    </row>
    <row r="194">
      <c r="D194" s="89"/>
      <c r="H194" s="114"/>
    </row>
    <row r="195">
      <c r="D195" s="89"/>
      <c r="H195" s="114"/>
    </row>
    <row r="196">
      <c r="D196" s="89"/>
      <c r="H196" s="114"/>
    </row>
    <row r="197">
      <c r="D197" s="89"/>
      <c r="H197" s="114"/>
    </row>
    <row r="198">
      <c r="D198" s="89"/>
      <c r="H198" s="114"/>
    </row>
    <row r="199">
      <c r="D199" s="89"/>
      <c r="H199" s="114"/>
    </row>
    <row r="200">
      <c r="D200" s="89"/>
      <c r="H200" s="114"/>
    </row>
    <row r="201">
      <c r="D201" s="89"/>
      <c r="H201" s="114"/>
    </row>
    <row r="202">
      <c r="D202" s="89"/>
      <c r="H202" s="114"/>
    </row>
    <row r="203">
      <c r="D203" s="89"/>
      <c r="H203" s="114"/>
    </row>
    <row r="204">
      <c r="D204" s="89"/>
      <c r="H204" s="114"/>
    </row>
    <row r="205">
      <c r="D205" s="89"/>
      <c r="H205" s="114"/>
    </row>
    <row r="206">
      <c r="D206" s="89"/>
      <c r="H206" s="114"/>
    </row>
    <row r="207">
      <c r="D207" s="89"/>
      <c r="H207" s="114"/>
    </row>
    <row r="208">
      <c r="D208" s="89"/>
      <c r="H208" s="114"/>
    </row>
    <row r="209">
      <c r="D209" s="89"/>
      <c r="H209" s="114"/>
    </row>
    <row r="210">
      <c r="D210" s="89"/>
      <c r="H210" s="114"/>
    </row>
    <row r="211">
      <c r="D211" s="89"/>
      <c r="H211" s="114"/>
    </row>
    <row r="212">
      <c r="D212" s="89"/>
      <c r="H212" s="114"/>
    </row>
    <row r="213">
      <c r="D213" s="89"/>
      <c r="H213" s="114"/>
    </row>
    <row r="214">
      <c r="D214" s="89"/>
      <c r="H214" s="114"/>
    </row>
    <row r="215">
      <c r="D215" s="89"/>
      <c r="H215" s="114"/>
    </row>
    <row r="216">
      <c r="D216" s="89"/>
      <c r="H216" s="114"/>
    </row>
    <row r="217">
      <c r="D217" s="89"/>
      <c r="H217" s="114"/>
    </row>
    <row r="218">
      <c r="D218" s="89"/>
      <c r="H218" s="114"/>
    </row>
    <row r="219">
      <c r="D219" s="89"/>
      <c r="H219" s="114"/>
    </row>
    <row r="220">
      <c r="D220" s="89"/>
      <c r="H220" s="114"/>
    </row>
    <row r="221">
      <c r="D221" s="89"/>
      <c r="H221" s="114"/>
    </row>
    <row r="222">
      <c r="D222" s="89"/>
      <c r="H222" s="114"/>
    </row>
    <row r="223">
      <c r="D223" s="89"/>
      <c r="H223" s="114"/>
    </row>
    <row r="224">
      <c r="D224" s="89"/>
      <c r="H224" s="114"/>
    </row>
    <row r="225">
      <c r="D225" s="89"/>
      <c r="H225" s="114"/>
    </row>
    <row r="226">
      <c r="D226" s="89"/>
      <c r="H226" s="114"/>
    </row>
    <row r="227">
      <c r="D227" s="89"/>
      <c r="H227" s="114"/>
    </row>
    <row r="228">
      <c r="D228" s="89"/>
      <c r="H228" s="114"/>
    </row>
    <row r="229">
      <c r="D229" s="89"/>
      <c r="H229" s="114"/>
    </row>
    <row r="230">
      <c r="D230" s="89"/>
      <c r="H230" s="114"/>
    </row>
    <row r="231">
      <c r="D231" s="89"/>
      <c r="H231" s="114"/>
    </row>
    <row r="232">
      <c r="D232" s="89"/>
      <c r="H232" s="114"/>
    </row>
    <row r="233">
      <c r="D233" s="89"/>
      <c r="H233" s="114"/>
    </row>
    <row r="234">
      <c r="D234" s="89"/>
      <c r="H234" s="114"/>
    </row>
    <row r="235">
      <c r="D235" s="89"/>
      <c r="H235" s="114"/>
    </row>
    <row r="236">
      <c r="D236" s="89"/>
      <c r="H236" s="114"/>
    </row>
    <row r="237">
      <c r="D237" s="89"/>
      <c r="H237" s="114"/>
    </row>
    <row r="238">
      <c r="D238" s="89"/>
      <c r="H238" s="114"/>
    </row>
    <row r="239">
      <c r="D239" s="89"/>
      <c r="H239" s="114"/>
    </row>
    <row r="240">
      <c r="D240" s="89"/>
      <c r="H240" s="114"/>
    </row>
    <row r="241">
      <c r="D241" s="89"/>
      <c r="H241" s="114"/>
    </row>
    <row r="242">
      <c r="D242" s="89"/>
      <c r="H242" s="114"/>
    </row>
    <row r="243">
      <c r="D243" s="89"/>
      <c r="H243" s="114"/>
    </row>
    <row r="244">
      <c r="D244" s="89"/>
      <c r="H244" s="114"/>
    </row>
    <row r="245">
      <c r="D245" s="89"/>
      <c r="H245" s="114"/>
    </row>
    <row r="246">
      <c r="D246" s="89"/>
      <c r="H246" s="114"/>
    </row>
    <row r="247">
      <c r="D247" s="89"/>
      <c r="H247" s="114"/>
    </row>
    <row r="248">
      <c r="D248" s="89"/>
      <c r="H248" s="114"/>
    </row>
    <row r="249">
      <c r="D249" s="89"/>
      <c r="H249" s="114"/>
    </row>
    <row r="250">
      <c r="D250" s="89"/>
      <c r="H250" s="114"/>
    </row>
    <row r="251">
      <c r="D251" s="89"/>
      <c r="H251" s="114"/>
    </row>
    <row r="252">
      <c r="D252" s="89"/>
      <c r="H252" s="114"/>
    </row>
    <row r="253">
      <c r="D253" s="89"/>
      <c r="H253" s="114"/>
    </row>
    <row r="254">
      <c r="D254" s="89"/>
      <c r="H254" s="114"/>
    </row>
    <row r="255">
      <c r="D255" s="89"/>
      <c r="H255" s="114"/>
    </row>
    <row r="256">
      <c r="D256" s="89"/>
      <c r="H256" s="114"/>
    </row>
    <row r="257">
      <c r="D257" s="89"/>
      <c r="H257" s="114"/>
    </row>
    <row r="258">
      <c r="D258" s="89"/>
      <c r="H258" s="114"/>
    </row>
    <row r="259">
      <c r="D259" s="89"/>
      <c r="H259" s="114"/>
    </row>
    <row r="260">
      <c r="D260" s="89"/>
      <c r="H260" s="114"/>
    </row>
    <row r="261">
      <c r="D261" s="89"/>
      <c r="H261" s="114"/>
    </row>
    <row r="262">
      <c r="D262" s="89"/>
      <c r="H262" s="114"/>
    </row>
    <row r="263">
      <c r="D263" s="89"/>
      <c r="H263" s="114"/>
    </row>
    <row r="264">
      <c r="D264" s="89"/>
      <c r="H264" s="114"/>
    </row>
    <row r="265">
      <c r="D265" s="89"/>
      <c r="H265" s="114"/>
    </row>
    <row r="266">
      <c r="D266" s="89"/>
      <c r="H266" s="114"/>
    </row>
    <row r="267">
      <c r="D267" s="89"/>
      <c r="H267" s="114"/>
    </row>
    <row r="268">
      <c r="D268" s="89"/>
      <c r="H268" s="114"/>
    </row>
    <row r="269">
      <c r="D269" s="89"/>
      <c r="H269" s="114"/>
    </row>
    <row r="270">
      <c r="D270" s="89"/>
      <c r="H270" s="114"/>
    </row>
    <row r="271">
      <c r="D271" s="89"/>
      <c r="H271" s="114"/>
    </row>
    <row r="272">
      <c r="D272" s="89"/>
      <c r="H272" s="114"/>
    </row>
    <row r="273">
      <c r="D273" s="89"/>
      <c r="H273" s="114"/>
    </row>
    <row r="274">
      <c r="D274" s="89"/>
      <c r="H274" s="114"/>
    </row>
    <row r="275">
      <c r="D275" s="89"/>
      <c r="H275" s="114"/>
    </row>
    <row r="276">
      <c r="D276" s="89"/>
      <c r="H276" s="114"/>
    </row>
    <row r="277">
      <c r="D277" s="89"/>
      <c r="H277" s="114"/>
    </row>
    <row r="278">
      <c r="D278" s="89"/>
      <c r="H278" s="114"/>
    </row>
    <row r="279">
      <c r="D279" s="89"/>
      <c r="H279" s="114"/>
    </row>
    <row r="280">
      <c r="D280" s="89"/>
      <c r="H280" s="114"/>
    </row>
    <row r="281">
      <c r="D281" s="89"/>
      <c r="H281" s="114"/>
    </row>
    <row r="282">
      <c r="D282" s="89"/>
      <c r="H282" s="114"/>
    </row>
    <row r="283">
      <c r="D283" s="89"/>
      <c r="H283" s="114"/>
    </row>
    <row r="284">
      <c r="D284" s="89"/>
      <c r="H284" s="114"/>
    </row>
    <row r="285">
      <c r="D285" s="89"/>
      <c r="H285" s="114"/>
    </row>
    <row r="286">
      <c r="D286" s="89"/>
      <c r="H286" s="114"/>
    </row>
    <row r="287">
      <c r="D287" s="89"/>
      <c r="H287" s="114"/>
    </row>
    <row r="288">
      <c r="D288" s="89"/>
      <c r="H288" s="114"/>
    </row>
    <row r="289">
      <c r="D289" s="89"/>
      <c r="H289" s="114"/>
    </row>
    <row r="290">
      <c r="D290" s="89"/>
      <c r="H290" s="114"/>
    </row>
    <row r="291">
      <c r="D291" s="89"/>
      <c r="H291" s="114"/>
    </row>
    <row r="292">
      <c r="D292" s="89"/>
      <c r="H292" s="114"/>
    </row>
    <row r="293">
      <c r="D293" s="89"/>
      <c r="H293" s="114"/>
    </row>
    <row r="294">
      <c r="D294" s="89"/>
      <c r="H294" s="114"/>
    </row>
    <row r="295">
      <c r="D295" s="89"/>
      <c r="H295" s="114"/>
    </row>
    <row r="296">
      <c r="D296" s="89"/>
      <c r="H296" s="114"/>
    </row>
    <row r="297">
      <c r="D297" s="89"/>
      <c r="H297" s="114"/>
    </row>
    <row r="298">
      <c r="D298" s="89"/>
      <c r="H298" s="114"/>
    </row>
    <row r="299">
      <c r="D299" s="89"/>
      <c r="H299" s="114"/>
    </row>
    <row r="300">
      <c r="D300" s="89"/>
      <c r="H300" s="114"/>
    </row>
    <row r="301">
      <c r="D301" s="89"/>
      <c r="H301" s="114"/>
    </row>
    <row r="302">
      <c r="D302" s="89"/>
      <c r="H302" s="114"/>
    </row>
    <row r="303">
      <c r="D303" s="89"/>
      <c r="H303" s="114"/>
    </row>
    <row r="304">
      <c r="D304" s="89"/>
      <c r="H304" s="114"/>
    </row>
    <row r="305">
      <c r="D305" s="89"/>
      <c r="H305" s="114"/>
    </row>
    <row r="306">
      <c r="D306" s="89"/>
      <c r="H306" s="114"/>
    </row>
    <row r="307">
      <c r="D307" s="89"/>
      <c r="H307" s="114"/>
    </row>
    <row r="308">
      <c r="D308" s="89"/>
      <c r="H308" s="114"/>
    </row>
    <row r="309">
      <c r="D309" s="89"/>
      <c r="H309" s="114"/>
    </row>
    <row r="310">
      <c r="D310" s="89"/>
      <c r="H310" s="114"/>
    </row>
    <row r="311">
      <c r="D311" s="89"/>
      <c r="H311" s="114"/>
    </row>
    <row r="312">
      <c r="D312" s="89"/>
      <c r="H312" s="114"/>
    </row>
    <row r="313">
      <c r="D313" s="89"/>
      <c r="H313" s="114"/>
    </row>
    <row r="314">
      <c r="D314" s="89"/>
      <c r="H314" s="114"/>
    </row>
    <row r="315">
      <c r="D315" s="89"/>
      <c r="H315" s="114"/>
    </row>
    <row r="316">
      <c r="D316" s="89"/>
      <c r="H316" s="114"/>
    </row>
    <row r="317">
      <c r="D317" s="89"/>
      <c r="H317" s="114"/>
    </row>
    <row r="318">
      <c r="D318" s="89"/>
      <c r="H318" s="114"/>
    </row>
    <row r="319">
      <c r="D319" s="89"/>
      <c r="H319" s="114"/>
    </row>
    <row r="320">
      <c r="D320" s="89"/>
      <c r="H320" s="114"/>
    </row>
    <row r="321">
      <c r="D321" s="89"/>
      <c r="H321" s="114"/>
    </row>
    <row r="322">
      <c r="D322" s="89"/>
      <c r="H322" s="114"/>
    </row>
    <row r="323">
      <c r="D323" s="89"/>
      <c r="H323" s="114"/>
    </row>
    <row r="324">
      <c r="D324" s="89"/>
      <c r="H324" s="114"/>
    </row>
    <row r="325">
      <c r="D325" s="89"/>
      <c r="H325" s="114"/>
    </row>
    <row r="326">
      <c r="D326" s="89"/>
      <c r="H326" s="114"/>
    </row>
    <row r="327">
      <c r="D327" s="89"/>
      <c r="H327" s="114"/>
    </row>
    <row r="328">
      <c r="D328" s="89"/>
      <c r="H328" s="114"/>
    </row>
    <row r="329">
      <c r="D329" s="89"/>
      <c r="H329" s="114"/>
    </row>
    <row r="330">
      <c r="D330" s="89"/>
      <c r="H330" s="114"/>
    </row>
    <row r="331">
      <c r="D331" s="89"/>
      <c r="H331" s="114"/>
    </row>
    <row r="332">
      <c r="D332" s="89"/>
      <c r="H332" s="114"/>
    </row>
    <row r="333">
      <c r="D333" s="89"/>
      <c r="H333" s="114"/>
    </row>
    <row r="334">
      <c r="D334" s="89"/>
      <c r="H334" s="114"/>
    </row>
    <row r="335">
      <c r="D335" s="89"/>
      <c r="H335" s="114"/>
    </row>
    <row r="336">
      <c r="D336" s="89"/>
      <c r="H336" s="114"/>
    </row>
    <row r="337">
      <c r="D337" s="89"/>
      <c r="H337" s="114"/>
    </row>
    <row r="338">
      <c r="D338" s="89"/>
      <c r="H338" s="114"/>
    </row>
    <row r="339">
      <c r="D339" s="89"/>
      <c r="H339" s="114"/>
    </row>
    <row r="340">
      <c r="D340" s="89"/>
      <c r="H340" s="114"/>
    </row>
    <row r="341">
      <c r="D341" s="89"/>
      <c r="H341" s="114"/>
    </row>
    <row r="342">
      <c r="D342" s="89"/>
      <c r="H342" s="114"/>
    </row>
    <row r="343">
      <c r="D343" s="89"/>
      <c r="H343" s="114"/>
    </row>
    <row r="344">
      <c r="D344" s="89"/>
      <c r="H344" s="114"/>
    </row>
    <row r="345">
      <c r="D345" s="89"/>
      <c r="H345" s="114"/>
    </row>
    <row r="346">
      <c r="D346" s="89"/>
      <c r="H346" s="114"/>
    </row>
    <row r="347">
      <c r="D347" s="89"/>
      <c r="H347" s="114"/>
    </row>
    <row r="348">
      <c r="D348" s="89"/>
      <c r="H348" s="114"/>
    </row>
    <row r="349">
      <c r="D349" s="89"/>
      <c r="H349" s="114"/>
    </row>
    <row r="350">
      <c r="D350" s="89"/>
      <c r="H350" s="114"/>
    </row>
    <row r="351">
      <c r="D351" s="89"/>
      <c r="H351" s="114"/>
    </row>
    <row r="352">
      <c r="D352" s="89"/>
      <c r="H352" s="114"/>
    </row>
    <row r="353">
      <c r="D353" s="89"/>
      <c r="H353" s="114"/>
    </row>
    <row r="354">
      <c r="D354" s="89"/>
      <c r="H354" s="114"/>
    </row>
    <row r="355">
      <c r="D355" s="89"/>
      <c r="H355" s="114"/>
    </row>
    <row r="356">
      <c r="D356" s="89"/>
      <c r="H356" s="114"/>
    </row>
    <row r="357">
      <c r="D357" s="89"/>
      <c r="H357" s="114"/>
    </row>
    <row r="358">
      <c r="D358" s="89"/>
      <c r="H358" s="114"/>
    </row>
    <row r="359">
      <c r="D359" s="89"/>
      <c r="H359" s="114"/>
    </row>
    <row r="360">
      <c r="D360" s="89"/>
      <c r="H360" s="114"/>
    </row>
    <row r="361">
      <c r="D361" s="89"/>
      <c r="H361" s="114"/>
    </row>
    <row r="362">
      <c r="D362" s="89"/>
      <c r="H362" s="114"/>
    </row>
    <row r="363">
      <c r="D363" s="89"/>
      <c r="H363" s="114"/>
    </row>
    <row r="364">
      <c r="D364" s="89"/>
      <c r="H364" s="114"/>
    </row>
    <row r="365">
      <c r="D365" s="89"/>
      <c r="H365" s="114"/>
    </row>
    <row r="366">
      <c r="D366" s="89"/>
      <c r="H366" s="114"/>
    </row>
    <row r="367">
      <c r="D367" s="89"/>
      <c r="H367" s="114"/>
    </row>
    <row r="368">
      <c r="D368" s="89"/>
      <c r="H368" s="114"/>
    </row>
    <row r="369">
      <c r="D369" s="89"/>
      <c r="H369" s="114"/>
    </row>
    <row r="370">
      <c r="D370" s="89"/>
      <c r="H370" s="114"/>
    </row>
    <row r="371">
      <c r="D371" s="89"/>
      <c r="H371" s="114"/>
    </row>
    <row r="372">
      <c r="D372" s="89"/>
      <c r="H372" s="114"/>
    </row>
    <row r="373">
      <c r="D373" s="89"/>
      <c r="H373" s="114"/>
    </row>
    <row r="374">
      <c r="D374" s="89"/>
      <c r="H374" s="114"/>
    </row>
    <row r="375">
      <c r="D375" s="89"/>
      <c r="H375" s="114"/>
    </row>
    <row r="376">
      <c r="D376" s="89"/>
      <c r="H376" s="114"/>
    </row>
    <row r="377">
      <c r="D377" s="89"/>
      <c r="H377" s="114"/>
    </row>
    <row r="378">
      <c r="D378" s="89"/>
      <c r="H378" s="114"/>
    </row>
    <row r="379">
      <c r="D379" s="89"/>
      <c r="H379" s="114"/>
    </row>
    <row r="380">
      <c r="D380" s="89"/>
      <c r="H380" s="114"/>
    </row>
    <row r="381">
      <c r="D381" s="89"/>
      <c r="H381" s="114"/>
    </row>
    <row r="382">
      <c r="D382" s="89"/>
      <c r="H382" s="114"/>
    </row>
    <row r="383">
      <c r="D383" s="89"/>
      <c r="H383" s="114"/>
    </row>
    <row r="384">
      <c r="D384" s="89"/>
      <c r="H384" s="114"/>
    </row>
    <row r="385">
      <c r="D385" s="89"/>
      <c r="H385" s="114"/>
    </row>
    <row r="386">
      <c r="D386" s="89"/>
      <c r="H386" s="114"/>
    </row>
    <row r="387">
      <c r="D387" s="89"/>
      <c r="H387" s="114"/>
    </row>
    <row r="388">
      <c r="D388" s="89"/>
      <c r="H388" s="114"/>
    </row>
    <row r="389">
      <c r="D389" s="89"/>
      <c r="H389" s="114"/>
    </row>
    <row r="390">
      <c r="D390" s="89"/>
      <c r="H390" s="114"/>
    </row>
    <row r="391">
      <c r="D391" s="89"/>
      <c r="H391" s="114"/>
    </row>
    <row r="392">
      <c r="D392" s="89"/>
      <c r="H392" s="114"/>
    </row>
    <row r="393">
      <c r="D393" s="89"/>
      <c r="H393" s="114"/>
    </row>
    <row r="394">
      <c r="D394" s="89"/>
      <c r="H394" s="114"/>
    </row>
    <row r="395">
      <c r="D395" s="89"/>
      <c r="H395" s="114"/>
    </row>
    <row r="396">
      <c r="D396" s="89"/>
      <c r="H396" s="114"/>
    </row>
    <row r="397">
      <c r="D397" s="89"/>
      <c r="H397" s="114"/>
    </row>
    <row r="398">
      <c r="D398" s="89"/>
      <c r="H398" s="114"/>
    </row>
    <row r="399">
      <c r="D399" s="89"/>
      <c r="H399" s="114"/>
    </row>
    <row r="400">
      <c r="D400" s="89"/>
      <c r="H400" s="114"/>
    </row>
    <row r="401">
      <c r="D401" s="89"/>
      <c r="H401" s="114"/>
    </row>
    <row r="402">
      <c r="D402" s="89"/>
      <c r="H402" s="114"/>
    </row>
    <row r="403">
      <c r="D403" s="89"/>
      <c r="H403" s="114"/>
    </row>
    <row r="404">
      <c r="D404" s="89"/>
      <c r="H404" s="114"/>
    </row>
    <row r="405">
      <c r="D405" s="89"/>
      <c r="H405" s="114"/>
    </row>
    <row r="406">
      <c r="D406" s="89"/>
      <c r="H406" s="114"/>
    </row>
    <row r="407">
      <c r="D407" s="89"/>
      <c r="H407" s="114"/>
    </row>
    <row r="408">
      <c r="D408" s="89"/>
      <c r="H408" s="114"/>
    </row>
    <row r="409">
      <c r="D409" s="89"/>
      <c r="H409" s="114"/>
    </row>
    <row r="410">
      <c r="D410" s="89"/>
      <c r="H410" s="114"/>
    </row>
    <row r="411">
      <c r="D411" s="89"/>
      <c r="H411" s="114"/>
    </row>
    <row r="412">
      <c r="D412" s="89"/>
      <c r="H412" s="114"/>
    </row>
    <row r="413">
      <c r="D413" s="89"/>
      <c r="H413" s="114"/>
    </row>
    <row r="414">
      <c r="D414" s="89"/>
      <c r="H414" s="114"/>
    </row>
    <row r="415">
      <c r="D415" s="89"/>
      <c r="H415" s="114"/>
    </row>
    <row r="416">
      <c r="D416" s="89"/>
      <c r="H416" s="114"/>
    </row>
    <row r="417">
      <c r="D417" s="89"/>
      <c r="H417" s="114"/>
    </row>
    <row r="418">
      <c r="D418" s="89"/>
      <c r="H418" s="114"/>
    </row>
    <row r="419">
      <c r="D419" s="89"/>
      <c r="H419" s="114"/>
    </row>
    <row r="420">
      <c r="D420" s="89"/>
      <c r="H420" s="114"/>
    </row>
    <row r="421">
      <c r="D421" s="89"/>
      <c r="H421" s="114"/>
    </row>
    <row r="422">
      <c r="D422" s="89"/>
      <c r="H422" s="114"/>
    </row>
    <row r="423">
      <c r="D423" s="89"/>
      <c r="H423" s="114"/>
    </row>
    <row r="424">
      <c r="D424" s="89"/>
      <c r="H424" s="114"/>
    </row>
    <row r="425">
      <c r="D425" s="89"/>
      <c r="H425" s="114"/>
    </row>
    <row r="426">
      <c r="D426" s="89"/>
      <c r="H426" s="114"/>
    </row>
    <row r="427">
      <c r="D427" s="89"/>
      <c r="H427" s="114"/>
    </row>
    <row r="428">
      <c r="D428" s="89"/>
      <c r="H428" s="114"/>
    </row>
    <row r="429">
      <c r="D429" s="89"/>
      <c r="H429" s="114"/>
    </row>
    <row r="430">
      <c r="D430" s="89"/>
      <c r="H430" s="114"/>
    </row>
    <row r="431">
      <c r="D431" s="89"/>
      <c r="H431" s="114"/>
    </row>
    <row r="432">
      <c r="D432" s="89"/>
      <c r="H432" s="114"/>
    </row>
    <row r="433">
      <c r="D433" s="89"/>
      <c r="H433" s="114"/>
    </row>
    <row r="434">
      <c r="D434" s="89"/>
      <c r="H434" s="114"/>
    </row>
    <row r="435">
      <c r="D435" s="89"/>
      <c r="H435" s="114"/>
    </row>
    <row r="436">
      <c r="D436" s="89"/>
      <c r="H436" s="114"/>
    </row>
    <row r="437">
      <c r="D437" s="89"/>
      <c r="H437" s="114"/>
    </row>
    <row r="438">
      <c r="D438" s="89"/>
      <c r="H438" s="114"/>
    </row>
    <row r="439">
      <c r="D439" s="89"/>
      <c r="H439" s="114"/>
    </row>
    <row r="440">
      <c r="D440" s="89"/>
      <c r="H440" s="114"/>
    </row>
    <row r="441">
      <c r="D441" s="89"/>
      <c r="H441" s="114"/>
    </row>
    <row r="442">
      <c r="D442" s="89"/>
      <c r="H442" s="114"/>
    </row>
    <row r="443">
      <c r="D443" s="89"/>
      <c r="H443" s="114"/>
    </row>
    <row r="444">
      <c r="D444" s="89"/>
      <c r="H444" s="114"/>
    </row>
    <row r="445">
      <c r="D445" s="89"/>
      <c r="H445" s="114"/>
    </row>
    <row r="446">
      <c r="D446" s="89"/>
      <c r="H446" s="114"/>
    </row>
    <row r="447">
      <c r="D447" s="89"/>
      <c r="H447" s="114"/>
    </row>
    <row r="448">
      <c r="D448" s="89"/>
      <c r="H448" s="114"/>
    </row>
    <row r="449">
      <c r="D449" s="89"/>
      <c r="H449" s="114"/>
    </row>
    <row r="450">
      <c r="D450" s="89"/>
      <c r="H450" s="114"/>
    </row>
    <row r="451">
      <c r="D451" s="89"/>
      <c r="H451" s="114"/>
    </row>
    <row r="452">
      <c r="D452" s="89"/>
      <c r="H452" s="114"/>
    </row>
    <row r="453">
      <c r="D453" s="89"/>
      <c r="H453" s="114"/>
    </row>
    <row r="454">
      <c r="D454" s="89"/>
      <c r="H454" s="114"/>
    </row>
    <row r="455">
      <c r="D455" s="89"/>
      <c r="H455" s="114"/>
    </row>
    <row r="456">
      <c r="D456" s="89"/>
      <c r="H456" s="114"/>
    </row>
    <row r="457">
      <c r="D457" s="89"/>
      <c r="H457" s="114"/>
    </row>
    <row r="458">
      <c r="D458" s="89"/>
      <c r="H458" s="114"/>
    </row>
    <row r="459">
      <c r="D459" s="89"/>
      <c r="H459" s="114"/>
    </row>
    <row r="460">
      <c r="D460" s="89"/>
      <c r="H460" s="114"/>
    </row>
    <row r="461">
      <c r="D461" s="89"/>
      <c r="H461" s="114"/>
    </row>
    <row r="462">
      <c r="D462" s="89"/>
      <c r="H462" s="114"/>
    </row>
    <row r="463">
      <c r="D463" s="89"/>
      <c r="H463" s="114"/>
    </row>
    <row r="464">
      <c r="D464" s="89"/>
      <c r="H464" s="114"/>
    </row>
    <row r="465">
      <c r="D465" s="89"/>
      <c r="H465" s="114"/>
    </row>
    <row r="466">
      <c r="D466" s="89"/>
      <c r="H466" s="114"/>
    </row>
    <row r="467">
      <c r="D467" s="89"/>
      <c r="H467" s="114"/>
    </row>
    <row r="468">
      <c r="D468" s="89"/>
      <c r="H468" s="114"/>
    </row>
    <row r="469">
      <c r="D469" s="89"/>
      <c r="H469" s="114"/>
    </row>
    <row r="470">
      <c r="D470" s="89"/>
      <c r="H470" s="114"/>
    </row>
    <row r="471">
      <c r="D471" s="89"/>
      <c r="H471" s="114"/>
    </row>
    <row r="472">
      <c r="D472" s="89"/>
      <c r="H472" s="114"/>
    </row>
    <row r="473">
      <c r="D473" s="89"/>
      <c r="H473" s="114"/>
    </row>
    <row r="474">
      <c r="D474" s="89"/>
      <c r="H474" s="114"/>
    </row>
    <row r="475">
      <c r="D475" s="89"/>
      <c r="H475" s="114"/>
    </row>
    <row r="476">
      <c r="D476" s="89"/>
      <c r="H476" s="114"/>
    </row>
    <row r="477">
      <c r="D477" s="89"/>
      <c r="H477" s="114"/>
    </row>
    <row r="478">
      <c r="D478" s="89"/>
      <c r="H478" s="114"/>
    </row>
    <row r="479">
      <c r="D479" s="89"/>
      <c r="H479" s="114"/>
    </row>
    <row r="480">
      <c r="D480" s="89"/>
      <c r="H480" s="114"/>
    </row>
    <row r="481">
      <c r="D481" s="89"/>
      <c r="H481" s="114"/>
    </row>
    <row r="482">
      <c r="D482" s="89"/>
      <c r="H482" s="114"/>
    </row>
    <row r="483">
      <c r="D483" s="89"/>
      <c r="H483" s="114"/>
    </row>
    <row r="484">
      <c r="D484" s="89"/>
      <c r="H484" s="114"/>
    </row>
    <row r="485">
      <c r="D485" s="89"/>
      <c r="H485" s="114"/>
    </row>
    <row r="486">
      <c r="D486" s="89"/>
      <c r="H486" s="114"/>
    </row>
    <row r="487">
      <c r="D487" s="89"/>
      <c r="H487" s="114"/>
    </row>
    <row r="488">
      <c r="D488" s="89"/>
      <c r="H488" s="114"/>
    </row>
    <row r="489">
      <c r="D489" s="89"/>
      <c r="H489" s="114"/>
    </row>
    <row r="490">
      <c r="D490" s="89"/>
      <c r="H490" s="114"/>
    </row>
    <row r="491">
      <c r="D491" s="89"/>
      <c r="H491" s="114"/>
    </row>
    <row r="492">
      <c r="D492" s="89"/>
      <c r="H492" s="114"/>
    </row>
    <row r="493">
      <c r="D493" s="89"/>
      <c r="H493" s="114"/>
    </row>
    <row r="494">
      <c r="D494" s="89"/>
      <c r="H494" s="114"/>
    </row>
    <row r="495">
      <c r="D495" s="89"/>
      <c r="H495" s="114"/>
    </row>
    <row r="496">
      <c r="D496" s="89"/>
      <c r="H496" s="114"/>
    </row>
    <row r="497">
      <c r="D497" s="89"/>
      <c r="H497" s="114"/>
    </row>
    <row r="498">
      <c r="D498" s="89"/>
      <c r="H498" s="114"/>
    </row>
    <row r="499">
      <c r="D499" s="89"/>
      <c r="H499" s="114"/>
    </row>
    <row r="500">
      <c r="D500" s="89"/>
      <c r="H500" s="114"/>
    </row>
    <row r="501">
      <c r="D501" s="89"/>
      <c r="H501" s="114"/>
    </row>
    <row r="502">
      <c r="D502" s="89"/>
      <c r="H502" s="114"/>
    </row>
    <row r="503">
      <c r="D503" s="89"/>
      <c r="H503" s="114"/>
    </row>
    <row r="504">
      <c r="D504" s="89"/>
      <c r="H504" s="114"/>
    </row>
    <row r="505">
      <c r="D505" s="89"/>
      <c r="H505" s="114"/>
    </row>
    <row r="506">
      <c r="D506" s="89"/>
      <c r="H506" s="114"/>
    </row>
    <row r="507">
      <c r="D507" s="89"/>
      <c r="H507" s="114"/>
    </row>
    <row r="508">
      <c r="D508" s="89"/>
      <c r="H508" s="114"/>
    </row>
    <row r="509">
      <c r="D509" s="89"/>
      <c r="H509" s="114"/>
    </row>
    <row r="510">
      <c r="D510" s="89"/>
      <c r="H510" s="114"/>
    </row>
    <row r="511">
      <c r="D511" s="89"/>
      <c r="H511" s="114"/>
    </row>
    <row r="512">
      <c r="D512" s="89"/>
      <c r="H512" s="114"/>
    </row>
    <row r="513">
      <c r="D513" s="89"/>
      <c r="H513" s="114"/>
    </row>
    <row r="514">
      <c r="D514" s="89"/>
      <c r="H514" s="114"/>
    </row>
    <row r="515">
      <c r="D515" s="89"/>
      <c r="H515" s="114"/>
    </row>
    <row r="516">
      <c r="D516" s="89"/>
      <c r="H516" s="114"/>
    </row>
    <row r="517">
      <c r="D517" s="89"/>
      <c r="H517" s="114"/>
    </row>
    <row r="518">
      <c r="D518" s="89"/>
      <c r="H518" s="114"/>
    </row>
    <row r="519">
      <c r="D519" s="89"/>
      <c r="H519" s="114"/>
    </row>
    <row r="520">
      <c r="D520" s="89"/>
      <c r="H520" s="114"/>
    </row>
    <row r="521">
      <c r="D521" s="89"/>
      <c r="H521" s="114"/>
    </row>
    <row r="522">
      <c r="D522" s="89"/>
      <c r="H522" s="114"/>
    </row>
    <row r="523">
      <c r="D523" s="89"/>
      <c r="H523" s="114"/>
    </row>
    <row r="524">
      <c r="D524" s="89"/>
      <c r="H524" s="114"/>
    </row>
    <row r="525">
      <c r="D525" s="89"/>
      <c r="H525" s="114"/>
    </row>
    <row r="526">
      <c r="D526" s="89"/>
      <c r="H526" s="114"/>
    </row>
    <row r="527">
      <c r="D527" s="89"/>
      <c r="H527" s="114"/>
    </row>
    <row r="528">
      <c r="D528" s="89"/>
      <c r="H528" s="114"/>
    </row>
    <row r="529">
      <c r="D529" s="89"/>
      <c r="H529" s="114"/>
    </row>
    <row r="530">
      <c r="D530" s="89"/>
      <c r="H530" s="114"/>
    </row>
    <row r="531">
      <c r="D531" s="89"/>
      <c r="H531" s="114"/>
    </row>
    <row r="532">
      <c r="D532" s="89"/>
      <c r="H532" s="114"/>
    </row>
    <row r="533">
      <c r="D533" s="89"/>
      <c r="H533" s="114"/>
    </row>
    <row r="534">
      <c r="D534" s="89"/>
      <c r="H534" s="114"/>
    </row>
    <row r="535">
      <c r="D535" s="89"/>
      <c r="H535" s="114"/>
    </row>
    <row r="536">
      <c r="D536" s="89"/>
      <c r="H536" s="114"/>
    </row>
    <row r="537">
      <c r="D537" s="89"/>
      <c r="H537" s="114"/>
    </row>
    <row r="538">
      <c r="D538" s="89"/>
      <c r="H538" s="114"/>
    </row>
    <row r="539">
      <c r="D539" s="89"/>
      <c r="H539" s="114"/>
    </row>
    <row r="540">
      <c r="D540" s="89"/>
      <c r="H540" s="114"/>
    </row>
    <row r="541">
      <c r="D541" s="89"/>
      <c r="H541" s="114"/>
    </row>
    <row r="542">
      <c r="D542" s="89"/>
      <c r="H542" s="114"/>
    </row>
    <row r="543">
      <c r="D543" s="89"/>
      <c r="H543" s="114"/>
    </row>
    <row r="544">
      <c r="D544" s="89"/>
      <c r="H544" s="114"/>
    </row>
    <row r="545">
      <c r="D545" s="89"/>
      <c r="H545" s="114"/>
    </row>
    <row r="546">
      <c r="D546" s="89"/>
      <c r="H546" s="114"/>
    </row>
    <row r="547">
      <c r="D547" s="89"/>
      <c r="H547" s="114"/>
    </row>
    <row r="548">
      <c r="D548" s="89"/>
      <c r="H548" s="114"/>
    </row>
    <row r="549">
      <c r="D549" s="89"/>
      <c r="H549" s="114"/>
    </row>
    <row r="550">
      <c r="D550" s="89"/>
      <c r="H550" s="114"/>
    </row>
    <row r="551">
      <c r="D551" s="89"/>
      <c r="H551" s="114"/>
    </row>
    <row r="552">
      <c r="D552" s="89"/>
      <c r="H552" s="114"/>
    </row>
    <row r="553">
      <c r="D553" s="89"/>
      <c r="H553" s="114"/>
    </row>
    <row r="554">
      <c r="D554" s="89"/>
      <c r="H554" s="114"/>
    </row>
    <row r="555">
      <c r="D555" s="89"/>
      <c r="H555" s="114"/>
    </row>
    <row r="556">
      <c r="D556" s="89"/>
      <c r="H556" s="114"/>
    </row>
    <row r="557">
      <c r="D557" s="89"/>
      <c r="H557" s="114"/>
    </row>
    <row r="558">
      <c r="D558" s="89"/>
      <c r="H558" s="114"/>
    </row>
    <row r="559">
      <c r="D559" s="89"/>
      <c r="H559" s="114"/>
    </row>
    <row r="560">
      <c r="D560" s="89"/>
      <c r="H560" s="114"/>
    </row>
    <row r="561">
      <c r="D561" s="89"/>
      <c r="H561" s="114"/>
    </row>
    <row r="562">
      <c r="D562" s="89"/>
      <c r="H562" s="114"/>
    </row>
    <row r="563">
      <c r="D563" s="89"/>
      <c r="H563" s="114"/>
    </row>
    <row r="564">
      <c r="D564" s="89"/>
      <c r="H564" s="114"/>
    </row>
    <row r="565">
      <c r="D565" s="89"/>
      <c r="H565" s="114"/>
    </row>
    <row r="566">
      <c r="D566" s="89"/>
      <c r="H566" s="114"/>
    </row>
    <row r="567">
      <c r="D567" s="89"/>
      <c r="H567" s="114"/>
    </row>
    <row r="568">
      <c r="D568" s="89"/>
      <c r="H568" s="114"/>
    </row>
    <row r="569">
      <c r="D569" s="89"/>
      <c r="H569" s="114"/>
    </row>
    <row r="570">
      <c r="D570" s="89"/>
      <c r="H570" s="114"/>
    </row>
    <row r="571">
      <c r="D571" s="89"/>
      <c r="H571" s="114"/>
    </row>
    <row r="572">
      <c r="D572" s="89"/>
      <c r="H572" s="114"/>
    </row>
    <row r="573">
      <c r="D573" s="89"/>
      <c r="H573" s="114"/>
    </row>
    <row r="574">
      <c r="D574" s="89"/>
      <c r="H574" s="114"/>
    </row>
    <row r="575">
      <c r="D575" s="89"/>
      <c r="H575" s="114"/>
    </row>
    <row r="576">
      <c r="D576" s="89"/>
      <c r="H576" s="114"/>
    </row>
    <row r="577">
      <c r="D577" s="89"/>
      <c r="H577" s="114"/>
    </row>
    <row r="578">
      <c r="D578" s="89"/>
      <c r="H578" s="114"/>
    </row>
    <row r="579">
      <c r="D579" s="89"/>
      <c r="H579" s="114"/>
    </row>
    <row r="580">
      <c r="D580" s="89"/>
      <c r="H580" s="114"/>
    </row>
    <row r="581">
      <c r="D581" s="89"/>
      <c r="H581" s="114"/>
    </row>
    <row r="582">
      <c r="D582" s="89"/>
      <c r="H582" s="114"/>
    </row>
    <row r="583">
      <c r="D583" s="89"/>
      <c r="H583" s="114"/>
    </row>
    <row r="584">
      <c r="D584" s="89"/>
      <c r="H584" s="114"/>
    </row>
    <row r="585">
      <c r="D585" s="89"/>
      <c r="H585" s="114"/>
    </row>
    <row r="586">
      <c r="D586" s="89"/>
      <c r="H586" s="114"/>
    </row>
    <row r="587">
      <c r="D587" s="89"/>
      <c r="H587" s="114"/>
    </row>
    <row r="588">
      <c r="D588" s="89"/>
      <c r="H588" s="114"/>
    </row>
    <row r="589">
      <c r="D589" s="89"/>
      <c r="H589" s="114"/>
    </row>
    <row r="590">
      <c r="D590" s="89"/>
      <c r="H590" s="114"/>
    </row>
    <row r="591">
      <c r="D591" s="89"/>
      <c r="H591" s="114"/>
    </row>
    <row r="592">
      <c r="D592" s="89"/>
      <c r="H592" s="114"/>
    </row>
    <row r="593">
      <c r="D593" s="89"/>
      <c r="H593" s="114"/>
    </row>
    <row r="594">
      <c r="D594" s="89"/>
      <c r="H594" s="114"/>
    </row>
    <row r="595">
      <c r="D595" s="89"/>
      <c r="H595" s="114"/>
    </row>
    <row r="596">
      <c r="D596" s="89"/>
      <c r="H596" s="114"/>
    </row>
    <row r="597">
      <c r="D597" s="89"/>
      <c r="H597" s="114"/>
    </row>
    <row r="598">
      <c r="D598" s="89"/>
      <c r="H598" s="114"/>
    </row>
    <row r="599">
      <c r="D599" s="89"/>
      <c r="H599" s="114"/>
    </row>
    <row r="600">
      <c r="D600" s="89"/>
      <c r="H600" s="114"/>
    </row>
    <row r="601">
      <c r="D601" s="89"/>
      <c r="H601" s="114"/>
    </row>
    <row r="602">
      <c r="D602" s="89"/>
      <c r="H602" s="114"/>
    </row>
    <row r="603">
      <c r="D603" s="89"/>
      <c r="H603" s="114"/>
    </row>
    <row r="604">
      <c r="D604" s="89"/>
      <c r="H604" s="114"/>
    </row>
    <row r="605">
      <c r="D605" s="89"/>
      <c r="H605" s="114"/>
    </row>
    <row r="606">
      <c r="D606" s="89"/>
      <c r="H606" s="114"/>
    </row>
    <row r="607">
      <c r="D607" s="89"/>
      <c r="H607" s="114"/>
    </row>
    <row r="608">
      <c r="D608" s="89"/>
      <c r="H608" s="114"/>
    </row>
    <row r="609">
      <c r="D609" s="89"/>
      <c r="H609" s="114"/>
    </row>
    <row r="610">
      <c r="D610" s="89"/>
      <c r="H610" s="114"/>
    </row>
    <row r="611">
      <c r="D611" s="89"/>
      <c r="H611" s="114"/>
    </row>
    <row r="612">
      <c r="D612" s="89"/>
      <c r="H612" s="114"/>
    </row>
    <row r="613">
      <c r="D613" s="89"/>
      <c r="H613" s="114"/>
    </row>
    <row r="614">
      <c r="D614" s="89"/>
      <c r="H614" s="114"/>
    </row>
    <row r="615">
      <c r="D615" s="89"/>
      <c r="H615" s="114"/>
    </row>
    <row r="616">
      <c r="D616" s="89"/>
      <c r="H616" s="114"/>
    </row>
    <row r="617">
      <c r="D617" s="89"/>
      <c r="H617" s="114"/>
    </row>
    <row r="618">
      <c r="D618" s="89"/>
      <c r="H618" s="114"/>
    </row>
    <row r="619">
      <c r="D619" s="89"/>
      <c r="H619" s="114"/>
    </row>
    <row r="620">
      <c r="D620" s="89"/>
      <c r="H620" s="114"/>
    </row>
    <row r="621">
      <c r="D621" s="89"/>
      <c r="H621" s="114"/>
    </row>
    <row r="622">
      <c r="D622" s="89"/>
      <c r="H622" s="114"/>
    </row>
    <row r="623">
      <c r="D623" s="89"/>
      <c r="H623" s="114"/>
    </row>
    <row r="624">
      <c r="D624" s="89"/>
      <c r="H624" s="114"/>
    </row>
    <row r="625">
      <c r="D625" s="89"/>
      <c r="H625" s="114"/>
    </row>
    <row r="626">
      <c r="D626" s="89"/>
      <c r="H626" s="114"/>
    </row>
    <row r="627">
      <c r="D627" s="89"/>
      <c r="H627" s="114"/>
    </row>
    <row r="628">
      <c r="D628" s="89"/>
      <c r="H628" s="114"/>
    </row>
    <row r="629">
      <c r="D629" s="89"/>
      <c r="H629" s="114"/>
    </row>
    <row r="630">
      <c r="D630" s="89"/>
      <c r="H630" s="114"/>
    </row>
    <row r="631">
      <c r="D631" s="89"/>
      <c r="H631" s="114"/>
    </row>
    <row r="632">
      <c r="D632" s="89"/>
      <c r="H632" s="114"/>
    </row>
    <row r="633">
      <c r="D633" s="89"/>
      <c r="H633" s="114"/>
    </row>
    <row r="634">
      <c r="D634" s="89"/>
      <c r="H634" s="114"/>
    </row>
    <row r="635">
      <c r="D635" s="89"/>
      <c r="H635" s="114"/>
    </row>
    <row r="636">
      <c r="D636" s="89"/>
      <c r="H636" s="114"/>
    </row>
    <row r="637">
      <c r="D637" s="89"/>
      <c r="H637" s="114"/>
    </row>
    <row r="638">
      <c r="D638" s="89"/>
      <c r="H638" s="114"/>
    </row>
    <row r="639">
      <c r="D639" s="89"/>
      <c r="H639" s="114"/>
    </row>
    <row r="640">
      <c r="D640" s="89"/>
      <c r="H640" s="114"/>
    </row>
    <row r="641">
      <c r="D641" s="89"/>
      <c r="H641" s="114"/>
    </row>
    <row r="642">
      <c r="D642" s="89"/>
      <c r="H642" s="114"/>
    </row>
    <row r="643">
      <c r="D643" s="89"/>
      <c r="H643" s="114"/>
    </row>
    <row r="644">
      <c r="D644" s="89"/>
      <c r="H644" s="114"/>
    </row>
    <row r="645">
      <c r="D645" s="89"/>
      <c r="H645" s="114"/>
    </row>
    <row r="646">
      <c r="D646" s="89"/>
      <c r="H646" s="114"/>
    </row>
    <row r="647">
      <c r="D647" s="89"/>
      <c r="H647" s="114"/>
    </row>
    <row r="648">
      <c r="D648" s="89"/>
      <c r="H648" s="114"/>
    </row>
    <row r="649">
      <c r="D649" s="89"/>
      <c r="H649" s="114"/>
    </row>
    <row r="650">
      <c r="D650" s="89"/>
      <c r="H650" s="114"/>
    </row>
    <row r="651">
      <c r="D651" s="89"/>
      <c r="H651" s="114"/>
    </row>
    <row r="652">
      <c r="D652" s="89"/>
      <c r="H652" s="114"/>
    </row>
    <row r="653">
      <c r="D653" s="89"/>
      <c r="H653" s="114"/>
    </row>
    <row r="654">
      <c r="D654" s="89"/>
      <c r="H654" s="114"/>
    </row>
    <row r="655">
      <c r="D655" s="89"/>
      <c r="H655" s="114"/>
    </row>
    <row r="656">
      <c r="D656" s="89"/>
      <c r="H656" s="114"/>
    </row>
    <row r="657">
      <c r="D657" s="89"/>
      <c r="H657" s="114"/>
    </row>
    <row r="658">
      <c r="D658" s="89"/>
      <c r="H658" s="114"/>
    </row>
    <row r="659">
      <c r="D659" s="89"/>
      <c r="H659" s="114"/>
    </row>
    <row r="660">
      <c r="D660" s="89"/>
      <c r="H660" s="114"/>
    </row>
    <row r="661">
      <c r="D661" s="89"/>
      <c r="H661" s="114"/>
    </row>
    <row r="662">
      <c r="D662" s="89"/>
      <c r="H662" s="114"/>
    </row>
    <row r="663">
      <c r="D663" s="89"/>
      <c r="H663" s="114"/>
    </row>
    <row r="664">
      <c r="D664" s="89"/>
      <c r="H664" s="114"/>
    </row>
    <row r="665">
      <c r="D665" s="89"/>
      <c r="H665" s="114"/>
    </row>
    <row r="666">
      <c r="D666" s="89"/>
      <c r="H666" s="114"/>
    </row>
    <row r="667">
      <c r="D667" s="89"/>
      <c r="H667" s="114"/>
    </row>
    <row r="668">
      <c r="D668" s="89"/>
      <c r="H668" s="114"/>
    </row>
    <row r="669">
      <c r="D669" s="89"/>
      <c r="H669" s="114"/>
    </row>
    <row r="670">
      <c r="D670" s="89"/>
      <c r="H670" s="114"/>
    </row>
    <row r="671">
      <c r="D671" s="89"/>
      <c r="H671" s="114"/>
    </row>
    <row r="672">
      <c r="D672" s="89"/>
      <c r="H672" s="114"/>
    </row>
    <row r="673">
      <c r="D673" s="89"/>
      <c r="H673" s="114"/>
    </row>
    <row r="674">
      <c r="D674" s="89"/>
      <c r="H674" s="114"/>
    </row>
    <row r="675">
      <c r="D675" s="89"/>
      <c r="H675" s="114"/>
    </row>
    <row r="676">
      <c r="D676" s="89"/>
      <c r="H676" s="114"/>
    </row>
    <row r="677">
      <c r="D677" s="89"/>
      <c r="H677" s="114"/>
    </row>
    <row r="678">
      <c r="D678" s="89"/>
      <c r="H678" s="114"/>
    </row>
    <row r="679">
      <c r="D679" s="89"/>
      <c r="H679" s="114"/>
    </row>
    <row r="680">
      <c r="D680" s="89"/>
      <c r="H680" s="114"/>
    </row>
    <row r="681">
      <c r="D681" s="89"/>
      <c r="H681" s="114"/>
    </row>
    <row r="682">
      <c r="D682" s="89"/>
      <c r="H682" s="114"/>
    </row>
    <row r="683">
      <c r="D683" s="89"/>
      <c r="H683" s="114"/>
    </row>
    <row r="684">
      <c r="D684" s="89"/>
      <c r="H684" s="114"/>
    </row>
    <row r="685">
      <c r="D685" s="89"/>
      <c r="H685" s="114"/>
    </row>
    <row r="686">
      <c r="D686" s="89"/>
      <c r="H686" s="114"/>
    </row>
    <row r="687">
      <c r="D687" s="89"/>
      <c r="H687" s="114"/>
    </row>
    <row r="688">
      <c r="D688" s="89"/>
      <c r="H688" s="114"/>
    </row>
    <row r="689">
      <c r="D689" s="89"/>
      <c r="H689" s="114"/>
    </row>
    <row r="690">
      <c r="D690" s="89"/>
      <c r="H690" s="114"/>
    </row>
    <row r="691">
      <c r="D691" s="89"/>
      <c r="H691" s="114"/>
    </row>
    <row r="692">
      <c r="D692" s="89"/>
      <c r="H692" s="114"/>
    </row>
    <row r="693">
      <c r="D693" s="89"/>
      <c r="H693" s="114"/>
    </row>
    <row r="694">
      <c r="D694" s="89"/>
      <c r="H694" s="114"/>
    </row>
    <row r="695">
      <c r="D695" s="89"/>
      <c r="H695" s="114"/>
    </row>
    <row r="696">
      <c r="D696" s="89"/>
      <c r="H696" s="114"/>
    </row>
    <row r="697">
      <c r="D697" s="89"/>
      <c r="H697" s="114"/>
    </row>
    <row r="698">
      <c r="D698" s="89"/>
      <c r="H698" s="114"/>
    </row>
    <row r="699">
      <c r="D699" s="89"/>
      <c r="H699" s="114"/>
    </row>
    <row r="700">
      <c r="D700" s="89"/>
      <c r="H700" s="114"/>
    </row>
    <row r="701">
      <c r="D701" s="89"/>
      <c r="H701" s="114"/>
    </row>
    <row r="702">
      <c r="D702" s="89"/>
      <c r="H702" s="114"/>
    </row>
    <row r="703">
      <c r="D703" s="89"/>
      <c r="H703" s="114"/>
    </row>
    <row r="704">
      <c r="D704" s="89"/>
      <c r="H704" s="114"/>
    </row>
    <row r="705">
      <c r="D705" s="89"/>
      <c r="H705" s="114"/>
    </row>
    <row r="706">
      <c r="D706" s="89"/>
      <c r="H706" s="114"/>
    </row>
    <row r="707">
      <c r="D707" s="89"/>
      <c r="H707" s="114"/>
    </row>
    <row r="708">
      <c r="D708" s="89"/>
      <c r="H708" s="114"/>
    </row>
    <row r="709">
      <c r="D709" s="89"/>
      <c r="H709" s="114"/>
    </row>
    <row r="710">
      <c r="D710" s="89"/>
      <c r="H710" s="114"/>
    </row>
    <row r="711">
      <c r="D711" s="89"/>
      <c r="H711" s="114"/>
    </row>
    <row r="712">
      <c r="D712" s="89"/>
      <c r="H712" s="114"/>
    </row>
    <row r="713">
      <c r="D713" s="89"/>
      <c r="H713" s="114"/>
    </row>
    <row r="714">
      <c r="D714" s="89"/>
      <c r="H714" s="114"/>
    </row>
    <row r="715">
      <c r="D715" s="89"/>
      <c r="H715" s="114"/>
    </row>
    <row r="716">
      <c r="D716" s="89"/>
      <c r="H716" s="114"/>
    </row>
    <row r="717">
      <c r="D717" s="89"/>
      <c r="H717" s="114"/>
    </row>
    <row r="718">
      <c r="D718" s="89"/>
      <c r="H718" s="114"/>
    </row>
    <row r="719">
      <c r="D719" s="89"/>
      <c r="H719" s="114"/>
    </row>
    <row r="720">
      <c r="D720" s="89"/>
      <c r="H720" s="114"/>
    </row>
    <row r="721">
      <c r="D721" s="89"/>
      <c r="H721" s="114"/>
    </row>
    <row r="722">
      <c r="D722" s="89"/>
      <c r="H722" s="114"/>
    </row>
    <row r="723">
      <c r="D723" s="89"/>
      <c r="H723" s="114"/>
    </row>
    <row r="724">
      <c r="D724" s="89"/>
      <c r="H724" s="114"/>
    </row>
    <row r="725">
      <c r="D725" s="89"/>
      <c r="H725" s="114"/>
    </row>
    <row r="726">
      <c r="D726" s="89"/>
      <c r="H726" s="114"/>
    </row>
    <row r="727">
      <c r="D727" s="89"/>
      <c r="H727" s="114"/>
    </row>
    <row r="728">
      <c r="D728" s="89"/>
      <c r="H728" s="114"/>
    </row>
    <row r="729">
      <c r="D729" s="89"/>
      <c r="H729" s="114"/>
    </row>
    <row r="730">
      <c r="D730" s="89"/>
      <c r="H730" s="114"/>
    </row>
    <row r="731">
      <c r="D731" s="89"/>
      <c r="H731" s="114"/>
    </row>
    <row r="732">
      <c r="D732" s="89"/>
      <c r="H732" s="114"/>
    </row>
    <row r="733">
      <c r="D733" s="89"/>
      <c r="H733" s="114"/>
    </row>
    <row r="734">
      <c r="D734" s="89"/>
      <c r="H734" s="114"/>
    </row>
    <row r="735">
      <c r="D735" s="89"/>
      <c r="H735" s="114"/>
    </row>
    <row r="736">
      <c r="D736" s="89"/>
      <c r="H736" s="114"/>
    </row>
    <row r="737">
      <c r="D737" s="89"/>
      <c r="H737" s="114"/>
    </row>
    <row r="738">
      <c r="D738" s="89"/>
      <c r="H738" s="114"/>
    </row>
    <row r="739">
      <c r="D739" s="89"/>
      <c r="H739" s="114"/>
    </row>
    <row r="740">
      <c r="D740" s="89"/>
      <c r="H740" s="114"/>
    </row>
    <row r="741">
      <c r="D741" s="89"/>
      <c r="H741" s="114"/>
    </row>
    <row r="742">
      <c r="D742" s="89"/>
      <c r="H742" s="114"/>
    </row>
    <row r="743">
      <c r="D743" s="89"/>
      <c r="H743" s="114"/>
    </row>
    <row r="744">
      <c r="D744" s="89"/>
      <c r="H744" s="114"/>
    </row>
    <row r="745">
      <c r="D745" s="89"/>
      <c r="H745" s="114"/>
    </row>
    <row r="746">
      <c r="D746" s="89"/>
      <c r="H746" s="114"/>
    </row>
    <row r="747">
      <c r="D747" s="89"/>
      <c r="H747" s="114"/>
    </row>
    <row r="748">
      <c r="D748" s="89"/>
      <c r="H748" s="114"/>
    </row>
    <row r="749">
      <c r="D749" s="89"/>
      <c r="H749" s="114"/>
    </row>
    <row r="750">
      <c r="D750" s="89"/>
      <c r="H750" s="114"/>
    </row>
    <row r="751">
      <c r="D751" s="89"/>
      <c r="H751" s="114"/>
    </row>
    <row r="752">
      <c r="D752" s="89"/>
      <c r="H752" s="114"/>
    </row>
    <row r="753">
      <c r="D753" s="89"/>
      <c r="H753" s="114"/>
    </row>
    <row r="754">
      <c r="D754" s="89"/>
      <c r="H754" s="114"/>
    </row>
    <row r="755">
      <c r="D755" s="89"/>
      <c r="H755" s="114"/>
    </row>
    <row r="756">
      <c r="D756" s="89"/>
      <c r="H756" s="114"/>
    </row>
    <row r="757">
      <c r="D757" s="89"/>
      <c r="H757" s="114"/>
    </row>
    <row r="758">
      <c r="D758" s="89"/>
      <c r="H758" s="114"/>
    </row>
    <row r="759">
      <c r="D759" s="89"/>
      <c r="H759" s="114"/>
    </row>
    <row r="760">
      <c r="D760" s="89"/>
      <c r="H760" s="114"/>
    </row>
    <row r="761">
      <c r="D761" s="89"/>
      <c r="H761" s="114"/>
    </row>
    <row r="762">
      <c r="D762" s="89"/>
      <c r="H762" s="114"/>
    </row>
    <row r="763">
      <c r="D763" s="89"/>
      <c r="H763" s="114"/>
    </row>
    <row r="764">
      <c r="D764" s="89"/>
      <c r="H764" s="114"/>
    </row>
    <row r="765">
      <c r="D765" s="89"/>
      <c r="H765" s="114"/>
    </row>
    <row r="766">
      <c r="D766" s="89"/>
      <c r="H766" s="114"/>
    </row>
    <row r="767">
      <c r="D767" s="89"/>
      <c r="H767" s="114"/>
    </row>
    <row r="768">
      <c r="D768" s="89"/>
      <c r="H768" s="114"/>
    </row>
    <row r="769">
      <c r="D769" s="89"/>
      <c r="H769" s="114"/>
    </row>
    <row r="770">
      <c r="D770" s="89"/>
      <c r="H770" s="114"/>
    </row>
    <row r="771">
      <c r="D771" s="89"/>
      <c r="H771" s="114"/>
    </row>
    <row r="772">
      <c r="D772" s="89"/>
      <c r="H772" s="114"/>
    </row>
    <row r="773">
      <c r="D773" s="89"/>
      <c r="H773" s="114"/>
    </row>
    <row r="774">
      <c r="D774" s="89"/>
      <c r="H774" s="114"/>
    </row>
    <row r="775">
      <c r="D775" s="89"/>
      <c r="H775" s="114"/>
    </row>
    <row r="776">
      <c r="D776" s="89"/>
      <c r="H776" s="114"/>
    </row>
    <row r="777">
      <c r="D777" s="89"/>
      <c r="H777" s="114"/>
    </row>
    <row r="778">
      <c r="D778" s="89"/>
      <c r="H778" s="114"/>
    </row>
    <row r="779">
      <c r="D779" s="89"/>
      <c r="H779" s="114"/>
    </row>
    <row r="780">
      <c r="D780" s="89"/>
      <c r="H780" s="114"/>
    </row>
    <row r="781">
      <c r="D781" s="89"/>
      <c r="H781" s="114"/>
    </row>
    <row r="782">
      <c r="D782" s="89"/>
      <c r="H782" s="114"/>
    </row>
    <row r="783">
      <c r="D783" s="89"/>
      <c r="H783" s="114"/>
    </row>
    <row r="784">
      <c r="D784" s="89"/>
      <c r="H784" s="114"/>
    </row>
    <row r="785">
      <c r="D785" s="89"/>
      <c r="H785" s="114"/>
    </row>
    <row r="786">
      <c r="D786" s="89"/>
      <c r="H786" s="114"/>
    </row>
    <row r="787">
      <c r="D787" s="89"/>
      <c r="H787" s="114"/>
    </row>
    <row r="788">
      <c r="D788" s="89"/>
      <c r="H788" s="114"/>
    </row>
    <row r="789">
      <c r="D789" s="89"/>
      <c r="H789" s="114"/>
    </row>
    <row r="790">
      <c r="D790" s="89"/>
      <c r="H790" s="114"/>
    </row>
    <row r="791">
      <c r="D791" s="89"/>
      <c r="H791" s="114"/>
    </row>
    <row r="792">
      <c r="D792" s="89"/>
      <c r="H792" s="114"/>
    </row>
    <row r="793">
      <c r="D793" s="89"/>
      <c r="H793" s="114"/>
    </row>
    <row r="794">
      <c r="D794" s="89"/>
      <c r="H794" s="114"/>
    </row>
    <row r="795">
      <c r="D795" s="89"/>
      <c r="H795" s="114"/>
    </row>
    <row r="796">
      <c r="D796" s="89"/>
      <c r="H796" s="114"/>
    </row>
    <row r="797">
      <c r="D797" s="89"/>
      <c r="H797" s="114"/>
    </row>
    <row r="798">
      <c r="D798" s="89"/>
      <c r="H798" s="114"/>
    </row>
    <row r="799">
      <c r="D799" s="89"/>
      <c r="H799" s="114"/>
    </row>
    <row r="800">
      <c r="D800" s="89"/>
      <c r="H800" s="114"/>
    </row>
    <row r="801">
      <c r="D801" s="89"/>
      <c r="H801" s="114"/>
    </row>
    <row r="802">
      <c r="D802" s="89"/>
      <c r="H802" s="114"/>
    </row>
    <row r="803">
      <c r="D803" s="89"/>
      <c r="H803" s="114"/>
    </row>
    <row r="804">
      <c r="D804" s="89"/>
      <c r="H804" s="114"/>
    </row>
    <row r="805">
      <c r="D805" s="89"/>
      <c r="H805" s="114"/>
    </row>
    <row r="806">
      <c r="D806" s="89"/>
      <c r="H806" s="114"/>
    </row>
    <row r="807">
      <c r="D807" s="89"/>
      <c r="H807" s="114"/>
    </row>
    <row r="808">
      <c r="D808" s="89"/>
      <c r="H808" s="114"/>
    </row>
    <row r="809">
      <c r="D809" s="89"/>
      <c r="H809" s="114"/>
    </row>
    <row r="810">
      <c r="D810" s="89"/>
      <c r="H810" s="114"/>
    </row>
    <row r="811">
      <c r="D811" s="89"/>
      <c r="H811" s="114"/>
    </row>
    <row r="812">
      <c r="D812" s="89"/>
      <c r="H812" s="114"/>
    </row>
    <row r="813">
      <c r="D813" s="89"/>
      <c r="H813" s="114"/>
    </row>
    <row r="814">
      <c r="D814" s="89"/>
      <c r="H814" s="114"/>
    </row>
    <row r="815">
      <c r="D815" s="89"/>
      <c r="H815" s="114"/>
    </row>
    <row r="816">
      <c r="D816" s="89"/>
      <c r="H816" s="114"/>
    </row>
    <row r="817">
      <c r="D817" s="89"/>
      <c r="H817" s="114"/>
    </row>
    <row r="818">
      <c r="D818" s="89"/>
      <c r="H818" s="114"/>
    </row>
    <row r="819">
      <c r="D819" s="89"/>
      <c r="H819" s="114"/>
    </row>
    <row r="820">
      <c r="D820" s="89"/>
      <c r="H820" s="114"/>
    </row>
    <row r="821">
      <c r="D821" s="89"/>
      <c r="H821" s="114"/>
    </row>
    <row r="822">
      <c r="D822" s="89"/>
      <c r="H822" s="114"/>
    </row>
    <row r="823">
      <c r="D823" s="89"/>
      <c r="H823" s="114"/>
    </row>
    <row r="824">
      <c r="D824" s="89"/>
      <c r="H824" s="114"/>
    </row>
    <row r="825">
      <c r="D825" s="89"/>
      <c r="H825" s="114"/>
    </row>
    <row r="826">
      <c r="D826" s="89"/>
      <c r="H826" s="114"/>
    </row>
    <row r="827">
      <c r="D827" s="89"/>
      <c r="H827" s="114"/>
    </row>
    <row r="828">
      <c r="D828" s="89"/>
      <c r="H828" s="114"/>
    </row>
    <row r="829">
      <c r="D829" s="89"/>
      <c r="H829" s="114"/>
    </row>
    <row r="830">
      <c r="D830" s="89"/>
      <c r="H830" s="114"/>
    </row>
    <row r="831">
      <c r="D831" s="89"/>
      <c r="H831" s="114"/>
    </row>
    <row r="832">
      <c r="D832" s="89"/>
      <c r="H832" s="114"/>
    </row>
    <row r="833">
      <c r="D833" s="89"/>
      <c r="H833" s="114"/>
    </row>
    <row r="834">
      <c r="D834" s="89"/>
      <c r="H834" s="114"/>
    </row>
    <row r="835">
      <c r="D835" s="89"/>
      <c r="H835" s="114"/>
    </row>
    <row r="836">
      <c r="D836" s="89"/>
      <c r="H836" s="114"/>
    </row>
    <row r="837">
      <c r="D837" s="89"/>
      <c r="H837" s="114"/>
    </row>
    <row r="838">
      <c r="D838" s="89"/>
      <c r="H838" s="114"/>
    </row>
    <row r="839">
      <c r="D839" s="89"/>
      <c r="H839" s="114"/>
    </row>
    <row r="840">
      <c r="D840" s="89"/>
      <c r="H840" s="114"/>
    </row>
    <row r="841">
      <c r="D841" s="89"/>
      <c r="H841" s="114"/>
    </row>
    <row r="842">
      <c r="D842" s="89"/>
      <c r="H842" s="114"/>
    </row>
    <row r="843">
      <c r="D843" s="89"/>
      <c r="H843" s="114"/>
    </row>
    <row r="844">
      <c r="D844" s="89"/>
      <c r="H844" s="114"/>
    </row>
    <row r="845">
      <c r="D845" s="89"/>
      <c r="H845" s="114"/>
    </row>
    <row r="846">
      <c r="D846" s="89"/>
      <c r="H846" s="114"/>
    </row>
    <row r="847">
      <c r="D847" s="89"/>
      <c r="H847" s="114"/>
    </row>
    <row r="848">
      <c r="D848" s="89"/>
      <c r="H848" s="114"/>
    </row>
    <row r="849">
      <c r="D849" s="89"/>
      <c r="H849" s="114"/>
    </row>
    <row r="850">
      <c r="D850" s="89"/>
      <c r="H850" s="114"/>
    </row>
    <row r="851">
      <c r="D851" s="89"/>
      <c r="H851" s="114"/>
    </row>
    <row r="852">
      <c r="D852" s="89"/>
      <c r="H852" s="114"/>
    </row>
    <row r="853">
      <c r="D853" s="89"/>
      <c r="H853" s="114"/>
    </row>
    <row r="854">
      <c r="D854" s="89"/>
      <c r="H854" s="114"/>
    </row>
    <row r="855">
      <c r="D855" s="89"/>
      <c r="H855" s="114"/>
    </row>
    <row r="856">
      <c r="D856" s="89"/>
      <c r="H856" s="114"/>
    </row>
    <row r="857">
      <c r="D857" s="89"/>
      <c r="H857" s="114"/>
    </row>
    <row r="858">
      <c r="D858" s="89"/>
      <c r="H858" s="114"/>
    </row>
    <row r="859">
      <c r="D859" s="89"/>
      <c r="H859" s="114"/>
    </row>
    <row r="860">
      <c r="D860" s="89"/>
      <c r="H860" s="114"/>
    </row>
    <row r="861">
      <c r="D861" s="89"/>
      <c r="H861" s="114"/>
    </row>
    <row r="862">
      <c r="D862" s="89"/>
      <c r="H862" s="114"/>
    </row>
    <row r="863">
      <c r="D863" s="89"/>
      <c r="H863" s="114"/>
    </row>
    <row r="864">
      <c r="D864" s="89"/>
      <c r="H864" s="114"/>
    </row>
    <row r="865">
      <c r="D865" s="89"/>
      <c r="H865" s="114"/>
    </row>
    <row r="866">
      <c r="D866" s="89"/>
      <c r="H866" s="114"/>
    </row>
    <row r="867">
      <c r="D867" s="89"/>
      <c r="H867" s="114"/>
    </row>
    <row r="868">
      <c r="D868" s="89"/>
      <c r="H868" s="114"/>
    </row>
    <row r="869">
      <c r="D869" s="89"/>
      <c r="H869" s="114"/>
    </row>
    <row r="870">
      <c r="D870" s="89"/>
      <c r="H870" s="114"/>
    </row>
    <row r="871">
      <c r="D871" s="89"/>
      <c r="H871" s="114"/>
    </row>
    <row r="872">
      <c r="D872" s="89"/>
      <c r="H872" s="114"/>
    </row>
    <row r="873">
      <c r="D873" s="89"/>
      <c r="H873" s="114"/>
    </row>
    <row r="874">
      <c r="D874" s="89"/>
      <c r="H874" s="114"/>
    </row>
    <row r="875">
      <c r="D875" s="89"/>
      <c r="H875" s="114"/>
    </row>
    <row r="876">
      <c r="D876" s="89"/>
      <c r="H876" s="114"/>
    </row>
    <row r="877">
      <c r="D877" s="89"/>
      <c r="H877" s="114"/>
    </row>
    <row r="878">
      <c r="D878" s="89"/>
      <c r="H878" s="114"/>
    </row>
    <row r="879">
      <c r="D879" s="89"/>
      <c r="H879" s="114"/>
    </row>
    <row r="880">
      <c r="D880" s="89"/>
      <c r="H880" s="114"/>
    </row>
    <row r="881">
      <c r="D881" s="89"/>
      <c r="H881" s="114"/>
    </row>
    <row r="882">
      <c r="D882" s="89"/>
      <c r="H882" s="114"/>
    </row>
    <row r="883">
      <c r="D883" s="89"/>
      <c r="H883" s="114"/>
    </row>
    <row r="884">
      <c r="D884" s="89"/>
      <c r="H884" s="114"/>
    </row>
    <row r="885">
      <c r="D885" s="89"/>
      <c r="H885" s="114"/>
    </row>
    <row r="886">
      <c r="D886" s="89"/>
      <c r="H886" s="114"/>
    </row>
    <row r="887">
      <c r="D887" s="89"/>
      <c r="H887" s="114"/>
    </row>
    <row r="888">
      <c r="D888" s="89"/>
      <c r="H888" s="114"/>
    </row>
    <row r="889">
      <c r="D889" s="89"/>
      <c r="H889" s="114"/>
    </row>
    <row r="890">
      <c r="D890" s="89"/>
      <c r="H890" s="114"/>
    </row>
    <row r="891">
      <c r="D891" s="89"/>
      <c r="H891" s="114"/>
    </row>
    <row r="892">
      <c r="D892" s="89"/>
      <c r="H892" s="114"/>
    </row>
    <row r="893">
      <c r="D893" s="89"/>
      <c r="H893" s="114"/>
    </row>
    <row r="894">
      <c r="D894" s="89"/>
      <c r="H894" s="114"/>
    </row>
    <row r="895">
      <c r="D895" s="89"/>
      <c r="H895" s="114"/>
    </row>
    <row r="896">
      <c r="D896" s="89"/>
      <c r="H896" s="114"/>
    </row>
    <row r="897">
      <c r="D897" s="89"/>
      <c r="H897" s="114"/>
    </row>
    <row r="898">
      <c r="D898" s="89"/>
      <c r="H898" s="114"/>
    </row>
    <row r="899">
      <c r="D899" s="89"/>
      <c r="H899" s="114"/>
    </row>
    <row r="900">
      <c r="D900" s="89"/>
      <c r="H900" s="114"/>
    </row>
    <row r="901">
      <c r="D901" s="89"/>
      <c r="H901" s="114"/>
    </row>
    <row r="902">
      <c r="D902" s="89"/>
      <c r="H902" s="114"/>
    </row>
    <row r="903">
      <c r="D903" s="89"/>
      <c r="H903" s="114"/>
    </row>
    <row r="904">
      <c r="D904" s="89"/>
      <c r="H904" s="114"/>
    </row>
    <row r="905">
      <c r="D905" s="89"/>
      <c r="H905" s="114"/>
    </row>
    <row r="906">
      <c r="D906" s="89"/>
      <c r="H906" s="114"/>
    </row>
    <row r="907">
      <c r="D907" s="89"/>
      <c r="H907" s="114"/>
    </row>
    <row r="908">
      <c r="D908" s="89"/>
      <c r="H908" s="114"/>
    </row>
    <row r="909">
      <c r="D909" s="89"/>
      <c r="H909" s="114"/>
    </row>
    <row r="910">
      <c r="D910" s="89"/>
      <c r="H910" s="114"/>
    </row>
    <row r="911">
      <c r="D911" s="89"/>
      <c r="H911" s="114"/>
    </row>
    <row r="912">
      <c r="D912" s="89"/>
      <c r="H912" s="114"/>
    </row>
    <row r="913">
      <c r="D913" s="89"/>
      <c r="H913" s="114"/>
    </row>
    <row r="914">
      <c r="D914" s="89"/>
      <c r="H914" s="114"/>
    </row>
    <row r="915">
      <c r="D915" s="89"/>
      <c r="H915" s="114"/>
    </row>
    <row r="916">
      <c r="D916" s="89"/>
      <c r="H916" s="114"/>
    </row>
    <row r="917">
      <c r="D917" s="89"/>
      <c r="H917" s="114"/>
    </row>
    <row r="918">
      <c r="D918" s="89"/>
      <c r="H918" s="114"/>
    </row>
    <row r="919">
      <c r="D919" s="89"/>
      <c r="H919" s="114"/>
    </row>
    <row r="920">
      <c r="D920" s="89"/>
      <c r="H920" s="114"/>
    </row>
    <row r="921">
      <c r="D921" s="89"/>
      <c r="H921" s="114"/>
    </row>
    <row r="922">
      <c r="D922" s="89"/>
      <c r="H922" s="114"/>
    </row>
    <row r="923">
      <c r="D923" s="89"/>
      <c r="H923" s="114"/>
    </row>
    <row r="924">
      <c r="D924" s="89"/>
      <c r="H924" s="114"/>
    </row>
    <row r="925">
      <c r="D925" s="89"/>
      <c r="H925" s="114"/>
    </row>
    <row r="926">
      <c r="D926" s="89"/>
      <c r="H926" s="114"/>
    </row>
    <row r="927">
      <c r="D927" s="89"/>
      <c r="H927" s="114"/>
    </row>
    <row r="928">
      <c r="D928" s="89"/>
      <c r="H928" s="114"/>
    </row>
    <row r="929">
      <c r="D929" s="89"/>
      <c r="H929" s="114"/>
    </row>
    <row r="930">
      <c r="D930" s="89"/>
      <c r="H930" s="114"/>
    </row>
    <row r="931">
      <c r="D931" s="89"/>
      <c r="H931" s="114"/>
    </row>
    <row r="932">
      <c r="D932" s="89"/>
      <c r="H932" s="114"/>
    </row>
    <row r="933">
      <c r="D933" s="89"/>
      <c r="H933" s="114"/>
    </row>
    <row r="934">
      <c r="D934" s="89"/>
      <c r="H934" s="114"/>
    </row>
    <row r="935">
      <c r="D935" s="89"/>
      <c r="H935" s="114"/>
    </row>
    <row r="936">
      <c r="D936" s="89"/>
      <c r="H936" s="114"/>
    </row>
    <row r="937">
      <c r="D937" s="89"/>
      <c r="H937" s="114"/>
    </row>
    <row r="938">
      <c r="D938" s="89"/>
      <c r="H938" s="114"/>
    </row>
    <row r="939">
      <c r="D939" s="89"/>
      <c r="H939" s="114"/>
    </row>
    <row r="940">
      <c r="D940" s="89"/>
      <c r="H940" s="114"/>
    </row>
    <row r="941">
      <c r="D941" s="89"/>
      <c r="H941" s="114"/>
    </row>
    <row r="942">
      <c r="D942" s="89"/>
      <c r="H942" s="114"/>
    </row>
    <row r="943">
      <c r="D943" s="89"/>
      <c r="H943" s="114"/>
    </row>
    <row r="944">
      <c r="D944" s="89"/>
      <c r="H944" s="114"/>
    </row>
    <row r="945">
      <c r="D945" s="89"/>
      <c r="H945" s="114"/>
    </row>
    <row r="946">
      <c r="D946" s="89"/>
      <c r="H946" s="114"/>
    </row>
    <row r="947">
      <c r="D947" s="89"/>
      <c r="H947" s="114"/>
    </row>
    <row r="948">
      <c r="D948" s="89"/>
      <c r="H948" s="114"/>
    </row>
    <row r="949">
      <c r="D949" s="89"/>
      <c r="H949" s="114"/>
    </row>
    <row r="950">
      <c r="D950" s="89"/>
      <c r="H950" s="114"/>
    </row>
    <row r="951">
      <c r="D951" s="89"/>
      <c r="H951" s="114"/>
    </row>
    <row r="952">
      <c r="D952" s="89"/>
      <c r="H952" s="114"/>
    </row>
    <row r="953">
      <c r="D953" s="89"/>
      <c r="H953" s="114"/>
    </row>
    <row r="954">
      <c r="D954" s="89"/>
      <c r="H954" s="114"/>
    </row>
    <row r="955">
      <c r="D955" s="89"/>
      <c r="H955" s="114"/>
    </row>
    <row r="956">
      <c r="D956" s="89"/>
      <c r="H956" s="114"/>
    </row>
    <row r="957">
      <c r="D957" s="89"/>
      <c r="H957" s="114"/>
    </row>
    <row r="958">
      <c r="D958" s="89"/>
      <c r="H958" s="114"/>
    </row>
    <row r="959">
      <c r="D959" s="89"/>
      <c r="H959" s="114"/>
    </row>
    <row r="960">
      <c r="D960" s="89"/>
      <c r="H960" s="114"/>
    </row>
  </sheetData>
  <mergeCells count="11">
    <mergeCell ref="I2:I3"/>
    <mergeCell ref="J2:J3"/>
    <mergeCell ref="K2:K3"/>
    <mergeCell ref="L2:L3"/>
    <mergeCell ref="A1:G1"/>
    <mergeCell ref="H1:H2"/>
    <mergeCell ref="I1:L1"/>
    <mergeCell ref="A2:A3"/>
    <mergeCell ref="B2:B3"/>
    <mergeCell ref="C2:C3"/>
    <mergeCell ref="D2:G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2.25"/>
    <col customWidth="1" min="3" max="3" width="10.38"/>
    <col customWidth="1" min="4" max="4" width="4.88"/>
    <col customWidth="1" min="5" max="5" width="6.88"/>
    <col customWidth="1" min="6" max="6" width="4.5"/>
    <col customWidth="1" min="7" max="7" width="8.25"/>
    <col customWidth="1" min="8" max="8" width="30.13"/>
    <col customWidth="1" min="9" max="9" width="10.5"/>
    <col customWidth="1" min="10" max="15" width="5.0"/>
    <col customWidth="1" min="16" max="16" width="16.75"/>
    <col customWidth="1" min="17" max="17" width="12.88"/>
    <col customWidth="1" min="18" max="18" width="16.25"/>
    <col customWidth="1" min="20" max="20" width="11.25"/>
    <col customWidth="1" min="21" max="21" width="16.25"/>
    <col customWidth="1" min="22" max="22" width="43.0"/>
    <col customWidth="1" min="23" max="23" width="10.5"/>
    <col customWidth="1" min="24" max="24" width="38.63"/>
  </cols>
  <sheetData>
    <row r="1">
      <c r="A1" s="3" t="s">
        <v>151</v>
      </c>
      <c r="B1" s="5"/>
      <c r="C1" s="5"/>
      <c r="D1" s="5"/>
      <c r="E1" s="5"/>
      <c r="F1" s="5"/>
      <c r="G1" s="5"/>
      <c r="H1" s="6"/>
      <c r="I1" s="115" t="s">
        <v>17</v>
      </c>
      <c r="J1" s="10" t="s">
        <v>18</v>
      </c>
      <c r="K1" s="11"/>
      <c r="L1" s="11"/>
      <c r="M1" s="12"/>
      <c r="N1" s="116"/>
      <c r="O1" s="117"/>
      <c r="P1" s="5"/>
      <c r="Q1" s="5"/>
      <c r="R1" s="5"/>
      <c r="S1" s="5"/>
      <c r="T1" s="5"/>
      <c r="U1" s="5"/>
      <c r="V1" s="6"/>
      <c r="W1" s="8" t="s">
        <v>17</v>
      </c>
    </row>
    <row r="2">
      <c r="A2" s="14" t="s">
        <v>21</v>
      </c>
      <c r="B2" s="14" t="s">
        <v>22</v>
      </c>
      <c r="C2" s="14" t="s">
        <v>24</v>
      </c>
      <c r="D2" s="14" t="s">
        <v>0</v>
      </c>
      <c r="E2" s="18" t="s">
        <v>26</v>
      </c>
      <c r="F2" s="5"/>
      <c r="G2" s="5"/>
      <c r="H2" s="6"/>
      <c r="I2" s="118"/>
      <c r="J2" s="21" t="s">
        <v>29</v>
      </c>
      <c r="K2" s="21" t="s">
        <v>30</v>
      </c>
      <c r="L2" s="21" t="s">
        <v>31</v>
      </c>
      <c r="M2" s="21" t="s">
        <v>32</v>
      </c>
      <c r="O2" s="14"/>
      <c r="P2" s="23"/>
      <c r="Q2" s="23"/>
      <c r="R2" s="23"/>
      <c r="S2" s="27"/>
      <c r="T2" s="28"/>
      <c r="U2" s="28"/>
      <c r="V2" s="30"/>
      <c r="W2" s="15"/>
    </row>
    <row r="3">
      <c r="A3" s="15"/>
      <c r="B3" s="15"/>
      <c r="C3" s="15"/>
      <c r="D3" s="15"/>
      <c r="E3" s="25" t="s">
        <v>34</v>
      </c>
      <c r="F3" s="25" t="s">
        <v>35</v>
      </c>
      <c r="G3" s="25" t="s">
        <v>36</v>
      </c>
      <c r="H3" s="25" t="s">
        <v>37</v>
      </c>
      <c r="I3" s="29"/>
      <c r="J3" s="15"/>
      <c r="K3" s="15"/>
      <c r="L3" s="15"/>
      <c r="M3" s="15"/>
      <c r="O3" s="15"/>
      <c r="P3" s="30"/>
      <c r="Q3" s="30"/>
      <c r="R3" s="30"/>
      <c r="S3" s="35"/>
      <c r="T3" s="35"/>
      <c r="U3" s="35"/>
      <c r="V3" s="35"/>
      <c r="W3" s="29"/>
    </row>
    <row r="4">
      <c r="A4" s="119">
        <v>1.0</v>
      </c>
      <c r="B4" s="120" t="s">
        <v>152</v>
      </c>
      <c r="C4" s="121">
        <v>1.223159241E9</v>
      </c>
      <c r="D4" s="120"/>
      <c r="E4" s="122">
        <v>4950.0</v>
      </c>
      <c r="F4" s="123">
        <v>4950.0</v>
      </c>
      <c r="G4" s="122">
        <f t="shared" ref="G4:G38" si="1">E4-F4</f>
        <v>0</v>
      </c>
      <c r="H4" s="124" t="s">
        <v>153</v>
      </c>
      <c r="I4" s="125" t="s">
        <v>45</v>
      </c>
      <c r="J4" s="121" t="s">
        <v>50</v>
      </c>
      <c r="K4" s="1" t="s">
        <v>50</v>
      </c>
      <c r="L4" s="1" t="s">
        <v>50</v>
      </c>
      <c r="M4" s="1" t="s">
        <v>50</v>
      </c>
      <c r="N4" s="126"/>
      <c r="O4" s="127"/>
      <c r="P4" s="120"/>
      <c r="Q4" s="120"/>
      <c r="R4" s="128"/>
      <c r="S4" s="129"/>
      <c r="T4" s="128"/>
      <c r="U4" s="129"/>
      <c r="V4" s="126"/>
      <c r="W4" s="126"/>
      <c r="X4" s="126"/>
      <c r="Y4" s="126"/>
      <c r="Z4" s="126"/>
      <c r="AA4" s="126"/>
      <c r="AB4" s="126"/>
      <c r="AC4" s="126"/>
      <c r="AD4" s="126"/>
      <c r="AE4" s="130"/>
      <c r="AF4" s="130"/>
      <c r="AG4" s="130"/>
    </row>
    <row r="5">
      <c r="A5" s="31">
        <v>2.0</v>
      </c>
      <c r="B5" s="1" t="s">
        <v>154</v>
      </c>
      <c r="C5" s="1">
        <v>1.223162933E9</v>
      </c>
      <c r="D5" s="1"/>
      <c r="E5" s="42">
        <v>4950.0</v>
      </c>
      <c r="F5" s="1">
        <v>2500.0</v>
      </c>
      <c r="G5" s="46">
        <f t="shared" si="1"/>
        <v>2450</v>
      </c>
      <c r="H5" s="1" t="s">
        <v>155</v>
      </c>
      <c r="I5" s="48" t="s">
        <v>41</v>
      </c>
      <c r="J5" s="1" t="s">
        <v>50</v>
      </c>
      <c r="K5" s="1" t="s">
        <v>50</v>
      </c>
      <c r="L5" s="1" t="s">
        <v>50</v>
      </c>
      <c r="M5" s="1" t="s">
        <v>50</v>
      </c>
      <c r="O5" s="31"/>
      <c r="P5" s="56"/>
      <c r="Q5" s="56"/>
      <c r="R5" s="56"/>
      <c r="S5" s="42"/>
      <c r="T5" s="56"/>
      <c r="U5" s="131"/>
      <c r="V5" s="56"/>
      <c r="W5" s="29"/>
    </row>
    <row r="6">
      <c r="A6" s="31">
        <v>3.0</v>
      </c>
      <c r="B6" s="1" t="s">
        <v>156</v>
      </c>
      <c r="C6" s="1"/>
      <c r="D6" s="1"/>
      <c r="E6" s="42">
        <v>3710.0</v>
      </c>
      <c r="F6" s="1">
        <v>3710.0</v>
      </c>
      <c r="G6" s="46">
        <f t="shared" si="1"/>
        <v>0</v>
      </c>
      <c r="H6" s="1" t="s">
        <v>157</v>
      </c>
      <c r="I6" s="48" t="s">
        <v>45</v>
      </c>
      <c r="J6" s="1" t="s">
        <v>50</v>
      </c>
      <c r="K6" s="1" t="s">
        <v>50</v>
      </c>
      <c r="L6" s="1" t="s">
        <v>50</v>
      </c>
      <c r="M6" s="1" t="s">
        <v>50</v>
      </c>
      <c r="O6" s="31"/>
      <c r="P6" s="56"/>
      <c r="Q6" s="56"/>
      <c r="R6" s="56"/>
      <c r="S6" s="42"/>
      <c r="T6" s="56"/>
      <c r="U6" s="131"/>
      <c r="V6" s="56"/>
      <c r="W6" s="29"/>
    </row>
    <row r="7">
      <c r="A7" s="31">
        <v>4.0</v>
      </c>
      <c r="B7" s="1" t="s">
        <v>158</v>
      </c>
      <c r="C7" s="1"/>
      <c r="D7" s="1"/>
      <c r="E7" s="42">
        <v>3710.0</v>
      </c>
      <c r="F7" s="1"/>
      <c r="G7" s="46">
        <f t="shared" si="1"/>
        <v>3710</v>
      </c>
      <c r="H7" s="1" t="s">
        <v>157</v>
      </c>
      <c r="I7" s="29"/>
      <c r="J7" s="1" t="s">
        <v>50</v>
      </c>
      <c r="K7" s="1" t="s">
        <v>50</v>
      </c>
      <c r="L7" s="1" t="s">
        <v>50</v>
      </c>
      <c r="M7" s="1" t="s">
        <v>50</v>
      </c>
      <c r="O7" s="31"/>
      <c r="P7" s="56"/>
      <c r="Q7" s="56"/>
      <c r="R7" s="56"/>
      <c r="S7" s="42"/>
      <c r="T7" s="56"/>
      <c r="U7" s="131"/>
      <c r="V7" s="56"/>
      <c r="W7" s="29"/>
    </row>
    <row r="8">
      <c r="A8" s="31">
        <v>5.0</v>
      </c>
      <c r="B8" s="1" t="s">
        <v>159</v>
      </c>
      <c r="C8" s="1">
        <v>1.222123322E9</v>
      </c>
      <c r="D8" s="1"/>
      <c r="E8" s="42">
        <v>4950.0</v>
      </c>
      <c r="F8" s="1">
        <v>3900.0</v>
      </c>
      <c r="G8" s="46">
        <f t="shared" si="1"/>
        <v>1050</v>
      </c>
      <c r="H8" s="132" t="s">
        <v>160</v>
      </c>
      <c r="I8" s="48" t="s">
        <v>45</v>
      </c>
      <c r="J8" s="1" t="s">
        <v>50</v>
      </c>
      <c r="K8" s="1" t="s">
        <v>50</v>
      </c>
      <c r="L8" s="1" t="s">
        <v>50</v>
      </c>
      <c r="M8" s="1" t="s">
        <v>50</v>
      </c>
      <c r="O8" s="31"/>
      <c r="P8" s="56"/>
      <c r="Q8" s="59"/>
      <c r="R8" s="56"/>
      <c r="S8" s="42"/>
      <c r="T8" s="56"/>
      <c r="U8" s="131"/>
      <c r="V8" s="59"/>
      <c r="W8" s="29"/>
    </row>
    <row r="9">
      <c r="A9" s="31">
        <v>6.0</v>
      </c>
      <c r="B9" s="133" t="s">
        <v>161</v>
      </c>
      <c r="C9" s="1"/>
      <c r="D9" s="1"/>
      <c r="E9" s="42">
        <v>4950.0</v>
      </c>
      <c r="F9" s="1">
        <v>2500.0</v>
      </c>
      <c r="G9" s="46">
        <f t="shared" si="1"/>
        <v>2450</v>
      </c>
      <c r="H9" s="1" t="s">
        <v>162</v>
      </c>
      <c r="I9" s="48" t="s">
        <v>45</v>
      </c>
      <c r="J9" s="1" t="s">
        <v>50</v>
      </c>
      <c r="K9" s="1" t="s">
        <v>50</v>
      </c>
      <c r="L9" s="1" t="s">
        <v>50</v>
      </c>
      <c r="M9" s="1" t="s">
        <v>50</v>
      </c>
      <c r="O9" s="31"/>
      <c r="P9" s="56"/>
      <c r="Q9" s="59"/>
      <c r="R9" s="56"/>
      <c r="S9" s="42"/>
      <c r="T9" s="56"/>
      <c r="U9" s="131"/>
      <c r="V9" s="59"/>
      <c r="W9" s="29"/>
    </row>
    <row r="10">
      <c r="A10" s="31"/>
      <c r="B10" s="37"/>
      <c r="C10" s="37"/>
      <c r="D10" s="1"/>
      <c r="E10" s="42"/>
      <c r="F10" s="37"/>
      <c r="G10" s="46">
        <f t="shared" si="1"/>
        <v>0</v>
      </c>
      <c r="H10" s="1"/>
      <c r="J10" s="37"/>
      <c r="K10" s="37"/>
      <c r="L10" s="37"/>
      <c r="M10" s="37"/>
      <c r="O10" s="31"/>
      <c r="P10" s="56"/>
      <c r="Q10" s="59"/>
      <c r="R10" s="56"/>
      <c r="S10" s="42"/>
      <c r="T10" s="56"/>
      <c r="U10" s="131"/>
      <c r="V10" s="56"/>
      <c r="W10" s="29"/>
    </row>
    <row r="11">
      <c r="A11" s="31"/>
      <c r="B11" s="37"/>
      <c r="C11" s="37"/>
      <c r="D11" s="1"/>
      <c r="E11" s="42"/>
      <c r="F11" s="37"/>
      <c r="G11" s="46">
        <f t="shared" si="1"/>
        <v>0</v>
      </c>
      <c r="H11" s="37"/>
      <c r="I11" s="29"/>
      <c r="J11" s="37"/>
      <c r="K11" s="37"/>
      <c r="L11" s="37"/>
      <c r="M11" s="37"/>
      <c r="O11" s="31"/>
      <c r="P11" s="56"/>
      <c r="Q11" s="59"/>
      <c r="R11" s="56"/>
      <c r="S11" s="42"/>
      <c r="T11" s="56"/>
      <c r="U11" s="131"/>
      <c r="V11" s="56"/>
      <c r="W11" s="29"/>
    </row>
    <row r="12">
      <c r="A12" s="31"/>
      <c r="B12" s="37"/>
      <c r="C12" s="37"/>
      <c r="D12" s="1"/>
      <c r="E12" s="42"/>
      <c r="F12" s="37"/>
      <c r="G12" s="46">
        <f t="shared" si="1"/>
        <v>0</v>
      </c>
      <c r="H12" s="37"/>
      <c r="I12" s="29"/>
      <c r="J12" s="37"/>
      <c r="K12" s="37"/>
      <c r="L12" s="37"/>
      <c r="M12" s="37"/>
      <c r="O12" s="31"/>
      <c r="P12" s="56"/>
      <c r="Q12" s="59"/>
      <c r="R12" s="56"/>
      <c r="S12" s="42"/>
      <c r="T12" s="56"/>
      <c r="U12" s="131"/>
      <c r="V12" s="59"/>
      <c r="W12" s="29"/>
    </row>
    <row r="13">
      <c r="A13" s="31"/>
      <c r="B13" s="37"/>
      <c r="C13" s="37"/>
      <c r="D13" s="1"/>
      <c r="E13" s="42"/>
      <c r="F13" s="37"/>
      <c r="G13" s="46">
        <f t="shared" si="1"/>
        <v>0</v>
      </c>
      <c r="H13" s="37"/>
      <c r="I13" s="29"/>
      <c r="J13" s="37"/>
      <c r="K13" s="37"/>
      <c r="L13" s="37"/>
      <c r="M13" s="37"/>
      <c r="O13" s="31"/>
      <c r="P13" s="56"/>
      <c r="Q13" s="59"/>
      <c r="R13" s="56"/>
      <c r="S13" s="42"/>
      <c r="T13" s="56"/>
      <c r="U13" s="131"/>
      <c r="V13" s="59"/>
      <c r="W13" s="29"/>
    </row>
    <row r="14">
      <c r="A14" s="31"/>
      <c r="B14" s="37"/>
      <c r="C14" s="37"/>
      <c r="D14" s="1"/>
      <c r="E14" s="42"/>
      <c r="F14" s="37"/>
      <c r="G14" s="46">
        <f t="shared" si="1"/>
        <v>0</v>
      </c>
      <c r="H14" s="37"/>
      <c r="I14" s="29"/>
      <c r="J14" s="37"/>
      <c r="K14" s="37"/>
      <c r="L14" s="37"/>
      <c r="M14" s="37"/>
      <c r="O14" s="31"/>
      <c r="P14" s="56"/>
      <c r="Q14" s="59"/>
      <c r="R14" s="56"/>
      <c r="S14" s="42"/>
      <c r="T14" s="56"/>
      <c r="U14" s="131"/>
      <c r="V14" s="59"/>
      <c r="W14" s="29"/>
    </row>
    <row r="15">
      <c r="A15" s="31"/>
      <c r="B15" s="37"/>
      <c r="C15" s="37"/>
      <c r="D15" s="1"/>
      <c r="E15" s="42"/>
      <c r="F15" s="37"/>
      <c r="G15" s="46">
        <f t="shared" si="1"/>
        <v>0</v>
      </c>
      <c r="H15" s="37"/>
      <c r="I15" s="29"/>
      <c r="J15" s="37"/>
      <c r="K15" s="37"/>
      <c r="L15" s="37"/>
      <c r="M15" s="37"/>
      <c r="O15" s="31"/>
      <c r="P15" s="56"/>
      <c r="Q15" s="59"/>
      <c r="R15" s="56"/>
      <c r="S15" s="42"/>
      <c r="T15" s="56"/>
      <c r="U15" s="131"/>
      <c r="V15" s="59"/>
      <c r="W15" s="29"/>
    </row>
    <row r="16">
      <c r="A16" s="31"/>
      <c r="B16" s="37"/>
      <c r="C16" s="37"/>
      <c r="D16" s="1"/>
      <c r="E16" s="42"/>
      <c r="F16" s="37"/>
      <c r="G16" s="46">
        <f t="shared" si="1"/>
        <v>0</v>
      </c>
      <c r="H16" s="37"/>
      <c r="I16" s="29"/>
      <c r="O16" s="31"/>
      <c r="P16" s="59"/>
      <c r="Q16" s="59"/>
      <c r="R16" s="59"/>
      <c r="S16" s="42"/>
      <c r="T16" s="59"/>
      <c r="U16" s="131"/>
      <c r="V16" s="59"/>
      <c r="W16" s="29"/>
    </row>
    <row r="17">
      <c r="A17" s="31"/>
      <c r="B17" s="37"/>
      <c r="C17" s="37"/>
      <c r="D17" s="1"/>
      <c r="E17" s="42"/>
      <c r="F17" s="37"/>
      <c r="G17" s="46">
        <f t="shared" si="1"/>
        <v>0</v>
      </c>
      <c r="H17" s="37"/>
      <c r="I17" s="29"/>
      <c r="O17" s="31"/>
      <c r="P17" s="59"/>
      <c r="Q17" s="59"/>
      <c r="R17" s="59"/>
      <c r="S17" s="42"/>
      <c r="T17" s="59"/>
      <c r="U17" s="131"/>
      <c r="V17" s="59"/>
      <c r="W17" s="29"/>
    </row>
    <row r="18">
      <c r="A18" s="31"/>
      <c r="B18" s="37"/>
      <c r="C18" s="37"/>
      <c r="D18" s="1"/>
      <c r="E18" s="42"/>
      <c r="F18" s="37"/>
      <c r="G18" s="46">
        <f t="shared" si="1"/>
        <v>0</v>
      </c>
      <c r="H18" s="37"/>
      <c r="I18" s="29"/>
      <c r="O18" s="31"/>
      <c r="P18" s="59"/>
      <c r="Q18" s="59"/>
      <c r="R18" s="59"/>
      <c r="S18" s="42"/>
      <c r="T18" s="59"/>
      <c r="U18" s="131"/>
      <c r="V18" s="59"/>
      <c r="W18" s="29"/>
    </row>
    <row r="19">
      <c r="A19" s="31"/>
      <c r="B19" s="37"/>
      <c r="C19" s="37"/>
      <c r="D19" s="1"/>
      <c r="E19" s="42"/>
      <c r="F19" s="37"/>
      <c r="G19" s="46">
        <f t="shared" si="1"/>
        <v>0</v>
      </c>
      <c r="H19" s="37"/>
      <c r="I19" s="29"/>
      <c r="O19" s="31"/>
      <c r="P19" s="59"/>
      <c r="Q19" s="59"/>
      <c r="R19" s="59"/>
      <c r="S19" s="42"/>
      <c r="T19" s="59"/>
      <c r="U19" s="131"/>
      <c r="V19" s="59"/>
      <c r="W19" s="29"/>
    </row>
    <row r="20">
      <c r="A20" s="31"/>
      <c r="B20" s="37"/>
      <c r="C20" s="37"/>
      <c r="D20" s="1"/>
      <c r="E20" s="42"/>
      <c r="F20" s="37"/>
      <c r="G20" s="46">
        <f t="shared" si="1"/>
        <v>0</v>
      </c>
      <c r="H20" s="37"/>
      <c r="I20" s="29"/>
      <c r="O20" s="31"/>
      <c r="P20" s="59"/>
      <c r="Q20" s="59"/>
      <c r="R20" s="59"/>
      <c r="S20" s="42"/>
      <c r="T20" s="59"/>
      <c r="U20" s="131"/>
      <c r="V20" s="59"/>
      <c r="W20" s="29"/>
    </row>
    <row r="21">
      <c r="A21" s="31"/>
      <c r="B21" s="37"/>
      <c r="C21" s="37"/>
      <c r="D21" s="1"/>
      <c r="E21" s="42"/>
      <c r="F21" s="37"/>
      <c r="G21" s="46">
        <f t="shared" si="1"/>
        <v>0</v>
      </c>
      <c r="H21" s="37"/>
      <c r="I21" s="29"/>
      <c r="O21" s="31"/>
      <c r="P21" s="59"/>
      <c r="Q21" s="59"/>
      <c r="R21" s="59"/>
      <c r="S21" s="42"/>
      <c r="T21" s="59"/>
      <c r="U21" s="131"/>
      <c r="V21" s="59"/>
      <c r="W21" s="29"/>
    </row>
    <row r="22">
      <c r="A22" s="31"/>
      <c r="B22" s="37"/>
      <c r="C22" s="37"/>
      <c r="D22" s="1"/>
      <c r="E22" s="42"/>
      <c r="F22" s="37"/>
      <c r="G22" s="46">
        <f t="shared" si="1"/>
        <v>0</v>
      </c>
      <c r="H22" s="37"/>
      <c r="I22" s="29"/>
      <c r="O22" s="31"/>
      <c r="P22" s="59"/>
      <c r="Q22" s="59"/>
      <c r="R22" s="59"/>
      <c r="S22" s="42"/>
      <c r="T22" s="59"/>
      <c r="U22" s="131"/>
      <c r="V22" s="59"/>
      <c r="W22" s="29"/>
    </row>
    <row r="23">
      <c r="A23" s="31"/>
      <c r="B23" s="37"/>
      <c r="C23" s="37"/>
      <c r="D23" s="1"/>
      <c r="E23" s="42"/>
      <c r="F23" s="37"/>
      <c r="G23" s="46">
        <f t="shared" si="1"/>
        <v>0</v>
      </c>
      <c r="H23" s="37"/>
      <c r="I23" s="29"/>
      <c r="O23" s="31"/>
      <c r="P23" s="59"/>
      <c r="Q23" s="59"/>
      <c r="R23" s="59"/>
      <c r="S23" s="42"/>
      <c r="T23" s="59"/>
      <c r="U23" s="131"/>
      <c r="V23" s="59"/>
      <c r="W23" s="29"/>
    </row>
    <row r="24">
      <c r="A24" s="31"/>
      <c r="B24" s="37"/>
      <c r="C24" s="37"/>
      <c r="D24" s="1"/>
      <c r="E24" s="42"/>
      <c r="F24" s="37"/>
      <c r="G24" s="46">
        <f t="shared" si="1"/>
        <v>0</v>
      </c>
      <c r="H24" s="37"/>
      <c r="I24" s="29"/>
      <c r="O24" s="31"/>
      <c r="P24" s="59"/>
      <c r="Q24" s="59"/>
      <c r="R24" s="59"/>
      <c r="S24" s="42"/>
      <c r="T24" s="59"/>
      <c r="U24" s="131"/>
      <c r="V24" s="59"/>
      <c r="W24" s="29"/>
    </row>
    <row r="25">
      <c r="A25" s="31"/>
      <c r="B25" s="37"/>
      <c r="C25" s="37"/>
      <c r="D25" s="1"/>
      <c r="E25" s="42"/>
      <c r="F25" s="37"/>
      <c r="G25" s="46">
        <f t="shared" si="1"/>
        <v>0</v>
      </c>
      <c r="H25" s="37"/>
      <c r="I25" s="29"/>
      <c r="O25" s="31"/>
      <c r="P25" s="59"/>
      <c r="Q25" s="59"/>
      <c r="R25" s="59"/>
      <c r="S25" s="42"/>
      <c r="T25" s="59"/>
      <c r="U25" s="131"/>
      <c r="V25" s="59"/>
      <c r="W25" s="29"/>
    </row>
    <row r="26">
      <c r="A26" s="31">
        <v>25.0</v>
      </c>
      <c r="B26" s="37"/>
      <c r="C26" s="37"/>
      <c r="D26" s="1"/>
      <c r="E26" s="42"/>
      <c r="F26" s="37"/>
      <c r="G26" s="46">
        <f t="shared" si="1"/>
        <v>0</v>
      </c>
      <c r="H26" s="37"/>
      <c r="I26" s="29"/>
      <c r="O26" s="31"/>
      <c r="P26" s="59"/>
      <c r="Q26" s="59"/>
      <c r="R26" s="59"/>
      <c r="S26" s="42"/>
      <c r="T26" s="59"/>
      <c r="U26" s="131"/>
      <c r="V26" s="59"/>
      <c r="W26" s="29"/>
    </row>
    <row r="27">
      <c r="A27" s="31">
        <v>26.0</v>
      </c>
      <c r="B27" s="37"/>
      <c r="C27" s="37"/>
      <c r="D27" s="1"/>
      <c r="E27" s="42"/>
      <c r="F27" s="37"/>
      <c r="G27" s="46">
        <f t="shared" si="1"/>
        <v>0</v>
      </c>
      <c r="H27" s="37"/>
      <c r="I27" s="29"/>
      <c r="O27" s="31"/>
      <c r="P27" s="59"/>
      <c r="Q27" s="59"/>
      <c r="R27" s="59"/>
      <c r="S27" s="42"/>
      <c r="T27" s="59"/>
      <c r="U27" s="131"/>
      <c r="V27" s="59"/>
      <c r="W27" s="29"/>
    </row>
    <row r="28">
      <c r="A28" s="31">
        <v>27.0</v>
      </c>
      <c r="B28" s="37"/>
      <c r="C28" s="37"/>
      <c r="D28" s="1"/>
      <c r="E28" s="42"/>
      <c r="F28" s="37"/>
      <c r="G28" s="46">
        <f t="shared" si="1"/>
        <v>0</v>
      </c>
      <c r="H28" s="37"/>
      <c r="I28" s="29"/>
      <c r="O28" s="31"/>
      <c r="P28" s="59"/>
      <c r="Q28" s="59"/>
      <c r="R28" s="59"/>
      <c r="S28" s="42"/>
      <c r="T28" s="59"/>
      <c r="U28" s="131"/>
      <c r="V28" s="59"/>
      <c r="W28" s="29"/>
    </row>
    <row r="29">
      <c r="A29" s="31">
        <v>28.0</v>
      </c>
      <c r="B29" s="37"/>
      <c r="C29" s="37"/>
      <c r="D29" s="1"/>
      <c r="E29" s="42"/>
      <c r="F29" s="37"/>
      <c r="G29" s="46">
        <f t="shared" si="1"/>
        <v>0</v>
      </c>
      <c r="H29" s="37"/>
      <c r="I29" s="29"/>
      <c r="O29" s="31"/>
      <c r="P29" s="59"/>
      <c r="Q29" s="59"/>
      <c r="R29" s="59"/>
      <c r="S29" s="42"/>
      <c r="T29" s="59"/>
      <c r="U29" s="131"/>
      <c r="V29" s="59"/>
      <c r="W29" s="29"/>
    </row>
    <row r="30">
      <c r="A30" s="31">
        <v>29.0</v>
      </c>
      <c r="B30" s="37"/>
      <c r="C30" s="37"/>
      <c r="D30" s="1"/>
      <c r="E30" s="42"/>
      <c r="F30" s="37"/>
      <c r="G30" s="46">
        <f t="shared" si="1"/>
        <v>0</v>
      </c>
      <c r="H30" s="37"/>
      <c r="I30" s="29"/>
      <c r="O30" s="31"/>
      <c r="P30" s="59"/>
      <c r="Q30" s="59"/>
      <c r="R30" s="59"/>
      <c r="S30" s="42"/>
      <c r="T30" s="59"/>
      <c r="U30" s="131"/>
      <c r="V30" s="59"/>
      <c r="W30" s="29"/>
    </row>
    <row r="31">
      <c r="A31" s="31">
        <v>30.0</v>
      </c>
      <c r="B31" s="37"/>
      <c r="C31" s="37"/>
      <c r="D31" s="1"/>
      <c r="E31" s="42"/>
      <c r="F31" s="37"/>
      <c r="G31" s="46">
        <f t="shared" si="1"/>
        <v>0</v>
      </c>
      <c r="H31" s="37"/>
      <c r="I31" s="29"/>
      <c r="O31" s="31"/>
      <c r="P31" s="59"/>
      <c r="Q31" s="59"/>
      <c r="R31" s="59"/>
      <c r="S31" s="42"/>
      <c r="T31" s="59"/>
      <c r="U31" s="131"/>
      <c r="V31" s="59"/>
      <c r="W31" s="29"/>
    </row>
    <row r="32">
      <c r="A32" s="31">
        <v>31.0</v>
      </c>
      <c r="B32" s="37"/>
      <c r="C32" s="37"/>
      <c r="D32" s="1"/>
      <c r="E32" s="42"/>
      <c r="F32" s="37"/>
      <c r="G32" s="46">
        <f t="shared" si="1"/>
        <v>0</v>
      </c>
      <c r="H32" s="37"/>
      <c r="I32" s="29"/>
      <c r="O32" s="31"/>
      <c r="P32" s="59"/>
      <c r="Q32" s="59"/>
      <c r="R32" s="59"/>
      <c r="S32" s="42"/>
      <c r="T32" s="59"/>
      <c r="U32" s="131"/>
      <c r="V32" s="59"/>
      <c r="W32" s="29"/>
    </row>
    <row r="33">
      <c r="A33" s="31">
        <v>32.0</v>
      </c>
      <c r="B33" s="37"/>
      <c r="C33" s="37"/>
      <c r="D33" s="1"/>
      <c r="E33" s="42"/>
      <c r="F33" s="37"/>
      <c r="G33" s="46">
        <f t="shared" si="1"/>
        <v>0</v>
      </c>
      <c r="H33" s="37"/>
      <c r="I33" s="29"/>
      <c r="O33" s="31"/>
      <c r="P33" s="59"/>
      <c r="Q33" s="59"/>
      <c r="R33" s="59"/>
      <c r="S33" s="42"/>
      <c r="T33" s="59"/>
      <c r="U33" s="131"/>
      <c r="V33" s="59"/>
      <c r="W33" s="29"/>
    </row>
    <row r="34">
      <c r="A34" s="31">
        <v>33.0</v>
      </c>
      <c r="B34" s="37"/>
      <c r="C34" s="37"/>
      <c r="D34" s="1"/>
      <c r="E34" s="42"/>
      <c r="F34" s="37"/>
      <c r="G34" s="46">
        <f t="shared" si="1"/>
        <v>0</v>
      </c>
      <c r="H34" s="37"/>
      <c r="I34" s="29"/>
      <c r="O34" s="31"/>
      <c r="P34" s="59"/>
      <c r="Q34" s="59"/>
      <c r="R34" s="59"/>
      <c r="S34" s="42"/>
      <c r="T34" s="59"/>
      <c r="U34" s="131"/>
      <c r="V34" s="59"/>
      <c r="W34" s="29"/>
    </row>
    <row r="35">
      <c r="A35" s="31">
        <v>34.0</v>
      </c>
      <c r="B35" s="37"/>
      <c r="C35" s="37"/>
      <c r="D35" s="1"/>
      <c r="E35" s="42"/>
      <c r="F35" s="37"/>
      <c r="G35" s="46">
        <f t="shared" si="1"/>
        <v>0</v>
      </c>
      <c r="H35" s="37"/>
      <c r="I35" s="29"/>
      <c r="O35" s="31"/>
      <c r="P35" s="59"/>
      <c r="Q35" s="59"/>
      <c r="R35" s="59"/>
      <c r="S35" s="42"/>
      <c r="T35" s="59"/>
      <c r="U35" s="131"/>
      <c r="V35" s="59"/>
      <c r="W35" s="29"/>
    </row>
    <row r="36">
      <c r="A36" s="31">
        <v>35.0</v>
      </c>
      <c r="B36" s="37"/>
      <c r="C36" s="37"/>
      <c r="D36" s="1"/>
      <c r="E36" s="42"/>
      <c r="F36" s="37"/>
      <c r="G36" s="46">
        <f t="shared" si="1"/>
        <v>0</v>
      </c>
      <c r="H36" s="37"/>
      <c r="I36" s="29"/>
      <c r="O36" s="31"/>
      <c r="P36" s="59"/>
      <c r="Q36" s="59"/>
      <c r="R36" s="59"/>
      <c r="S36" s="42"/>
      <c r="T36" s="59"/>
      <c r="U36" s="131"/>
      <c r="V36" s="59"/>
      <c r="W36" s="29"/>
    </row>
    <row r="37">
      <c r="A37" s="31">
        <v>36.0</v>
      </c>
      <c r="B37" s="37"/>
      <c r="C37" s="37"/>
      <c r="D37" s="1"/>
      <c r="E37" s="42"/>
      <c r="F37" s="37"/>
      <c r="G37" s="46">
        <f t="shared" si="1"/>
        <v>0</v>
      </c>
      <c r="H37" s="37"/>
      <c r="I37" s="29"/>
      <c r="O37" s="31"/>
      <c r="P37" s="59"/>
      <c r="Q37" s="59"/>
      <c r="R37" s="59"/>
      <c r="S37" s="42"/>
      <c r="T37" s="59"/>
      <c r="U37" s="131"/>
      <c r="V37" s="59"/>
      <c r="W37" s="29"/>
    </row>
    <row r="38">
      <c r="A38" s="31">
        <v>37.0</v>
      </c>
      <c r="B38" s="37"/>
      <c r="C38" s="37"/>
      <c r="D38" s="1"/>
      <c r="E38" s="42"/>
      <c r="F38" s="37"/>
      <c r="G38" s="46">
        <f t="shared" si="1"/>
        <v>0</v>
      </c>
      <c r="H38" s="37"/>
      <c r="I38" s="29"/>
      <c r="O38" s="31"/>
      <c r="P38" s="59"/>
      <c r="Q38" s="59"/>
      <c r="R38" s="59"/>
      <c r="S38" s="42"/>
      <c r="T38" s="59"/>
      <c r="U38" s="131"/>
      <c r="V38" s="59"/>
      <c r="W38" s="29"/>
    </row>
    <row r="39">
      <c r="A39" s="31" t="s">
        <v>28</v>
      </c>
      <c r="B39" s="40">
        <f>countif(B4:B38,"*")</f>
        <v>6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1"/>
      <c r="P39" s="40"/>
      <c r="Q39" s="37"/>
      <c r="R39" s="37"/>
      <c r="S39" s="37"/>
      <c r="T39" s="37"/>
      <c r="U39" s="37"/>
      <c r="V39" s="37"/>
      <c r="W39" s="37"/>
    </row>
    <row r="40">
      <c r="A40" s="87"/>
      <c r="B40" s="87"/>
      <c r="P40" s="87"/>
    </row>
    <row r="41">
      <c r="A41" s="87"/>
      <c r="B41" s="87"/>
      <c r="P41" s="87"/>
    </row>
    <row r="42">
      <c r="A42" s="87"/>
      <c r="B42" s="87"/>
      <c r="P42" s="87"/>
    </row>
    <row r="43">
      <c r="A43" s="87"/>
      <c r="B43" s="87"/>
      <c r="P43" s="87"/>
    </row>
    <row r="44">
      <c r="A44" s="87"/>
      <c r="B44" s="87"/>
      <c r="P44" s="87"/>
    </row>
    <row r="45">
      <c r="A45" s="87"/>
      <c r="B45" s="87"/>
      <c r="P45" s="87"/>
    </row>
    <row r="46">
      <c r="A46" s="87"/>
      <c r="B46" s="87"/>
      <c r="P46" s="87"/>
    </row>
    <row r="47">
      <c r="A47" s="87"/>
      <c r="B47" s="87"/>
      <c r="P47" s="87"/>
    </row>
    <row r="48">
      <c r="A48" s="87"/>
      <c r="B48" s="87"/>
      <c r="P48" s="87"/>
    </row>
    <row r="49">
      <c r="A49" s="87"/>
      <c r="B49" s="87"/>
      <c r="P49" s="87"/>
    </row>
    <row r="50">
      <c r="A50" s="87"/>
      <c r="B50" s="87"/>
      <c r="P50" s="87"/>
    </row>
    <row r="51">
      <c r="A51" s="87"/>
      <c r="B51" s="87"/>
      <c r="P51" s="87"/>
    </row>
    <row r="52">
      <c r="A52" s="87"/>
      <c r="B52" s="87"/>
      <c r="P52" s="87"/>
    </row>
    <row r="53">
      <c r="A53" s="87"/>
      <c r="B53" s="87"/>
      <c r="P53" s="87"/>
    </row>
    <row r="54">
      <c r="A54" s="87"/>
      <c r="B54" s="87"/>
      <c r="P54" s="87"/>
    </row>
    <row r="55">
      <c r="A55" s="87"/>
      <c r="B55" s="87"/>
      <c r="P55" s="87"/>
    </row>
    <row r="56">
      <c r="A56" s="87"/>
      <c r="B56" s="87"/>
      <c r="P56" s="87"/>
    </row>
    <row r="57">
      <c r="A57" s="87"/>
      <c r="B57" s="87"/>
      <c r="P57" s="87"/>
    </row>
    <row r="58">
      <c r="A58" s="87"/>
      <c r="B58" s="87"/>
      <c r="P58" s="87"/>
    </row>
    <row r="59">
      <c r="A59" s="87"/>
      <c r="B59" s="87"/>
      <c r="P59" s="87"/>
    </row>
    <row r="60">
      <c r="A60" s="87"/>
      <c r="B60" s="87"/>
      <c r="P60" s="87"/>
    </row>
    <row r="61">
      <c r="A61" s="87"/>
      <c r="B61" s="87"/>
      <c r="P61" s="87"/>
    </row>
    <row r="62">
      <c r="A62" s="87"/>
      <c r="B62" s="87"/>
      <c r="P62" s="87"/>
    </row>
    <row r="63">
      <c r="A63" s="87"/>
      <c r="B63" s="87"/>
      <c r="P63" s="87"/>
    </row>
    <row r="64">
      <c r="A64" s="87"/>
      <c r="B64" s="87"/>
      <c r="P64" s="87"/>
    </row>
    <row r="65">
      <c r="A65" s="87"/>
      <c r="B65" s="87"/>
      <c r="P65" s="87"/>
    </row>
    <row r="66">
      <c r="A66" s="87"/>
      <c r="B66" s="87"/>
      <c r="P66" s="87"/>
    </row>
    <row r="67">
      <c r="A67" s="87"/>
      <c r="B67" s="87"/>
      <c r="P67" s="87"/>
    </row>
    <row r="68">
      <c r="A68" s="87"/>
      <c r="B68" s="87"/>
      <c r="P68" s="87"/>
    </row>
    <row r="69">
      <c r="A69" s="87"/>
      <c r="B69" s="87"/>
      <c r="P69" s="87"/>
    </row>
    <row r="70">
      <c r="A70" s="87"/>
      <c r="B70" s="87"/>
      <c r="P70" s="87"/>
    </row>
    <row r="71">
      <c r="A71" s="87"/>
      <c r="B71" s="87"/>
      <c r="P71" s="87"/>
    </row>
    <row r="72">
      <c r="A72" s="87"/>
      <c r="B72" s="87"/>
      <c r="P72" s="87"/>
    </row>
    <row r="73">
      <c r="A73" s="87"/>
      <c r="B73" s="87"/>
      <c r="P73" s="87"/>
    </row>
    <row r="74">
      <c r="A74" s="87"/>
      <c r="B74" s="87"/>
      <c r="P74" s="87"/>
    </row>
    <row r="75">
      <c r="A75" s="87"/>
      <c r="B75" s="87"/>
      <c r="P75" s="87"/>
    </row>
    <row r="76">
      <c r="A76" s="87"/>
      <c r="B76" s="87"/>
      <c r="P76" s="87"/>
    </row>
    <row r="77">
      <c r="A77" s="87"/>
      <c r="B77" s="87"/>
      <c r="P77" s="87"/>
    </row>
    <row r="78">
      <c r="A78" s="87"/>
      <c r="B78" s="87"/>
      <c r="P78" s="87"/>
    </row>
    <row r="79">
      <c r="A79" s="87"/>
      <c r="B79" s="87"/>
      <c r="P79" s="87"/>
    </row>
    <row r="80">
      <c r="A80" s="87"/>
      <c r="B80" s="87"/>
      <c r="P80" s="87"/>
    </row>
    <row r="81">
      <c r="A81" s="87"/>
      <c r="B81" s="87"/>
      <c r="P81" s="87"/>
    </row>
    <row r="82">
      <c r="A82" s="87"/>
      <c r="B82" s="87"/>
      <c r="P82" s="87"/>
    </row>
    <row r="83">
      <c r="A83" s="87"/>
      <c r="B83" s="87"/>
      <c r="P83" s="87"/>
    </row>
    <row r="84">
      <c r="A84" s="87"/>
      <c r="B84" s="87"/>
      <c r="P84" s="87"/>
    </row>
    <row r="85">
      <c r="A85" s="87"/>
      <c r="B85" s="87"/>
      <c r="P85" s="87"/>
    </row>
    <row r="86">
      <c r="A86" s="87"/>
      <c r="B86" s="87"/>
      <c r="P86" s="87"/>
    </row>
    <row r="87">
      <c r="A87" s="87"/>
      <c r="B87" s="87"/>
      <c r="P87" s="87"/>
    </row>
    <row r="88">
      <c r="A88" s="87"/>
      <c r="B88" s="87"/>
      <c r="P88" s="87"/>
    </row>
    <row r="89">
      <c r="A89" s="87"/>
      <c r="B89" s="87"/>
      <c r="P89" s="87"/>
    </row>
    <row r="90">
      <c r="A90" s="87"/>
      <c r="B90" s="87"/>
      <c r="P90" s="87"/>
    </row>
    <row r="91">
      <c r="A91" s="87"/>
      <c r="B91" s="87"/>
      <c r="P91" s="87"/>
    </row>
    <row r="92">
      <c r="A92" s="87"/>
      <c r="B92" s="87"/>
      <c r="P92" s="87"/>
    </row>
    <row r="93">
      <c r="A93" s="87"/>
      <c r="B93" s="87"/>
      <c r="P93" s="87"/>
    </row>
    <row r="94">
      <c r="A94" s="87"/>
      <c r="B94" s="87"/>
      <c r="P94" s="87"/>
    </row>
    <row r="95">
      <c r="A95" s="87"/>
      <c r="B95" s="87"/>
      <c r="P95" s="87"/>
    </row>
    <row r="96">
      <c r="A96" s="87"/>
      <c r="B96" s="87"/>
      <c r="P96" s="87"/>
    </row>
    <row r="97">
      <c r="A97" s="87"/>
      <c r="B97" s="87"/>
      <c r="P97" s="87"/>
    </row>
    <row r="98">
      <c r="A98" s="87"/>
      <c r="B98" s="87"/>
      <c r="P98" s="87"/>
    </row>
    <row r="99">
      <c r="A99" s="87"/>
      <c r="B99" s="87"/>
      <c r="P99" s="87"/>
    </row>
    <row r="100">
      <c r="A100" s="87"/>
      <c r="B100" s="87"/>
      <c r="P100" s="87"/>
    </row>
    <row r="101">
      <c r="A101" s="87"/>
      <c r="B101" s="87"/>
      <c r="P101" s="87"/>
    </row>
    <row r="102">
      <c r="A102" s="87"/>
      <c r="B102" s="87"/>
      <c r="P102" s="87"/>
    </row>
    <row r="103">
      <c r="A103" s="87"/>
      <c r="B103" s="87"/>
      <c r="P103" s="87"/>
    </row>
    <row r="104">
      <c r="A104" s="87"/>
      <c r="B104" s="87"/>
      <c r="P104" s="87"/>
    </row>
    <row r="105">
      <c r="A105" s="87"/>
      <c r="B105" s="87"/>
      <c r="P105" s="87"/>
    </row>
    <row r="106">
      <c r="A106" s="87"/>
      <c r="B106" s="87"/>
      <c r="P106" s="87"/>
    </row>
    <row r="107">
      <c r="A107" s="87"/>
      <c r="B107" s="87"/>
      <c r="P107" s="87"/>
    </row>
    <row r="108">
      <c r="A108" s="87"/>
      <c r="B108" s="87"/>
      <c r="P108" s="87"/>
    </row>
    <row r="109">
      <c r="A109" s="87"/>
      <c r="B109" s="87"/>
      <c r="P109" s="87"/>
    </row>
    <row r="110">
      <c r="A110" s="87"/>
      <c r="B110" s="87"/>
      <c r="P110" s="87"/>
    </row>
    <row r="111">
      <c r="A111" s="87"/>
      <c r="B111" s="87"/>
      <c r="P111" s="87"/>
    </row>
    <row r="112">
      <c r="A112" s="87"/>
      <c r="B112" s="87"/>
      <c r="P112" s="87"/>
    </row>
    <row r="113">
      <c r="A113" s="87"/>
      <c r="B113" s="87"/>
      <c r="P113" s="87"/>
    </row>
    <row r="114">
      <c r="A114" s="87"/>
      <c r="B114" s="87"/>
      <c r="P114" s="87"/>
    </row>
    <row r="115">
      <c r="A115" s="87"/>
      <c r="B115" s="87"/>
      <c r="P115" s="87"/>
    </row>
    <row r="116">
      <c r="A116" s="87"/>
      <c r="B116" s="87"/>
      <c r="P116" s="87"/>
    </row>
    <row r="117">
      <c r="A117" s="87"/>
      <c r="B117" s="87"/>
      <c r="P117" s="87"/>
    </row>
    <row r="118">
      <c r="A118" s="87"/>
      <c r="B118" s="87"/>
      <c r="P118" s="87"/>
    </row>
    <row r="119">
      <c r="A119" s="87"/>
      <c r="B119" s="87"/>
      <c r="P119" s="87"/>
    </row>
    <row r="120">
      <c r="A120" s="87"/>
      <c r="B120" s="87"/>
      <c r="P120" s="87"/>
    </row>
    <row r="121">
      <c r="A121" s="87"/>
      <c r="B121" s="87"/>
      <c r="P121" s="87"/>
    </row>
    <row r="122">
      <c r="A122" s="87"/>
      <c r="B122" s="87"/>
      <c r="P122" s="87"/>
    </row>
    <row r="123">
      <c r="A123" s="87"/>
      <c r="B123" s="87"/>
      <c r="P123" s="87"/>
    </row>
    <row r="124">
      <c r="A124" s="87"/>
      <c r="B124" s="87"/>
      <c r="P124" s="87"/>
    </row>
    <row r="125">
      <c r="A125" s="87"/>
      <c r="B125" s="87"/>
      <c r="P125" s="87"/>
    </row>
    <row r="126">
      <c r="A126" s="87"/>
      <c r="B126" s="87"/>
      <c r="P126" s="87"/>
    </row>
    <row r="127">
      <c r="A127" s="87"/>
      <c r="B127" s="87"/>
      <c r="P127" s="87"/>
    </row>
    <row r="128">
      <c r="A128" s="87"/>
      <c r="B128" s="87"/>
      <c r="P128" s="87"/>
    </row>
    <row r="129">
      <c r="A129" s="87"/>
      <c r="B129" s="87"/>
      <c r="P129" s="87"/>
    </row>
    <row r="130">
      <c r="A130" s="87"/>
      <c r="B130" s="87"/>
      <c r="P130" s="87"/>
    </row>
    <row r="131">
      <c r="A131" s="87"/>
      <c r="B131" s="87"/>
      <c r="P131" s="87"/>
    </row>
    <row r="132">
      <c r="A132" s="87"/>
      <c r="B132" s="87"/>
      <c r="P132" s="87"/>
    </row>
    <row r="133">
      <c r="A133" s="87"/>
      <c r="B133" s="87"/>
      <c r="P133" s="87"/>
    </row>
    <row r="134">
      <c r="A134" s="87"/>
      <c r="B134" s="87"/>
      <c r="P134" s="87"/>
    </row>
    <row r="135">
      <c r="A135" s="87"/>
      <c r="B135" s="87"/>
      <c r="P135" s="87"/>
    </row>
    <row r="136">
      <c r="A136" s="87"/>
      <c r="B136" s="87"/>
      <c r="P136" s="87"/>
    </row>
    <row r="137">
      <c r="A137" s="87"/>
      <c r="B137" s="87"/>
      <c r="P137" s="87"/>
    </row>
    <row r="138">
      <c r="A138" s="87"/>
      <c r="B138" s="87"/>
      <c r="P138" s="87"/>
    </row>
    <row r="139">
      <c r="A139" s="87"/>
      <c r="B139" s="87"/>
      <c r="P139" s="87"/>
    </row>
    <row r="140">
      <c r="A140" s="87"/>
      <c r="B140" s="87"/>
      <c r="P140" s="87"/>
    </row>
    <row r="141">
      <c r="A141" s="87"/>
      <c r="B141" s="87"/>
      <c r="P141" s="87"/>
    </row>
    <row r="142">
      <c r="A142" s="87"/>
      <c r="B142" s="87"/>
      <c r="P142" s="87"/>
    </row>
    <row r="143">
      <c r="A143" s="87"/>
      <c r="B143" s="87"/>
      <c r="P143" s="87"/>
    </row>
    <row r="144">
      <c r="A144" s="87"/>
      <c r="B144" s="87"/>
      <c r="P144" s="87"/>
    </row>
    <row r="145">
      <c r="A145" s="87"/>
      <c r="B145" s="87"/>
      <c r="P145" s="87"/>
    </row>
    <row r="146">
      <c r="A146" s="87"/>
      <c r="B146" s="87"/>
      <c r="P146" s="87"/>
    </row>
    <row r="147">
      <c r="A147" s="87"/>
      <c r="B147" s="87"/>
      <c r="P147" s="87"/>
    </row>
    <row r="148">
      <c r="A148" s="87"/>
      <c r="B148" s="87"/>
      <c r="P148" s="87"/>
    </row>
    <row r="149">
      <c r="A149" s="87"/>
      <c r="B149" s="87"/>
      <c r="P149" s="87"/>
    </row>
    <row r="150">
      <c r="A150" s="87"/>
      <c r="B150" s="87"/>
      <c r="P150" s="87"/>
    </row>
    <row r="151">
      <c r="A151" s="87"/>
      <c r="B151" s="87"/>
      <c r="P151" s="87"/>
    </row>
    <row r="152">
      <c r="A152" s="87"/>
      <c r="B152" s="87"/>
      <c r="P152" s="87"/>
    </row>
    <row r="153">
      <c r="A153" s="87"/>
      <c r="B153" s="87"/>
      <c r="P153" s="87"/>
    </row>
    <row r="154">
      <c r="A154" s="87"/>
      <c r="B154" s="87"/>
      <c r="P154" s="87"/>
    </row>
    <row r="155">
      <c r="A155" s="87"/>
      <c r="B155" s="87"/>
      <c r="P155" s="87"/>
    </row>
    <row r="156">
      <c r="A156" s="87"/>
      <c r="B156" s="87"/>
      <c r="P156" s="87"/>
    </row>
    <row r="157">
      <c r="A157" s="87"/>
      <c r="B157" s="87"/>
      <c r="P157" s="87"/>
    </row>
    <row r="158">
      <c r="A158" s="87"/>
      <c r="B158" s="87"/>
      <c r="P158" s="87"/>
    </row>
    <row r="159">
      <c r="A159" s="87"/>
      <c r="B159" s="87"/>
      <c r="P159" s="87"/>
    </row>
    <row r="160">
      <c r="A160" s="87"/>
      <c r="B160" s="87"/>
      <c r="P160" s="87"/>
    </row>
    <row r="161">
      <c r="A161" s="87"/>
      <c r="B161" s="87"/>
      <c r="P161" s="87"/>
    </row>
    <row r="162">
      <c r="A162" s="87"/>
      <c r="B162" s="87"/>
      <c r="P162" s="87"/>
    </row>
    <row r="163">
      <c r="A163" s="87"/>
      <c r="B163" s="87"/>
      <c r="P163" s="87"/>
    </row>
    <row r="164">
      <c r="A164" s="87"/>
      <c r="B164" s="87"/>
      <c r="P164" s="87"/>
    </row>
    <row r="165">
      <c r="A165" s="87"/>
      <c r="B165" s="87"/>
      <c r="P165" s="87"/>
    </row>
    <row r="166">
      <c r="A166" s="87"/>
      <c r="B166" s="87"/>
      <c r="P166" s="87"/>
    </row>
    <row r="167">
      <c r="A167" s="87"/>
      <c r="B167" s="87"/>
      <c r="P167" s="87"/>
    </row>
    <row r="168">
      <c r="A168" s="87"/>
      <c r="B168" s="87"/>
      <c r="P168" s="87"/>
    </row>
    <row r="169">
      <c r="A169" s="87"/>
      <c r="B169" s="87"/>
      <c r="P169" s="87"/>
    </row>
    <row r="170">
      <c r="A170" s="87"/>
      <c r="B170" s="87"/>
      <c r="P170" s="87"/>
    </row>
    <row r="171">
      <c r="A171" s="87"/>
      <c r="B171" s="87"/>
      <c r="P171" s="87"/>
    </row>
    <row r="172">
      <c r="A172" s="87"/>
      <c r="B172" s="87"/>
      <c r="P172" s="87"/>
    </row>
    <row r="173">
      <c r="A173" s="87"/>
      <c r="B173" s="87"/>
      <c r="P173" s="87"/>
    </row>
    <row r="174">
      <c r="A174" s="87"/>
      <c r="B174" s="87"/>
      <c r="P174" s="87"/>
    </row>
    <row r="175">
      <c r="A175" s="87"/>
      <c r="B175" s="87"/>
      <c r="P175" s="87"/>
    </row>
    <row r="176">
      <c r="A176" s="87"/>
      <c r="B176" s="87"/>
      <c r="P176" s="87"/>
    </row>
    <row r="177">
      <c r="A177" s="87"/>
      <c r="B177" s="87"/>
      <c r="P177" s="87"/>
    </row>
    <row r="178">
      <c r="A178" s="87"/>
      <c r="B178" s="87"/>
      <c r="P178" s="87"/>
    </row>
    <row r="179">
      <c r="A179" s="87"/>
      <c r="B179" s="87"/>
      <c r="P179" s="87"/>
    </row>
    <row r="180">
      <c r="A180" s="87"/>
      <c r="B180" s="87"/>
      <c r="P180" s="87"/>
    </row>
    <row r="181">
      <c r="A181" s="87"/>
      <c r="B181" s="87"/>
      <c r="P181" s="87"/>
    </row>
    <row r="182">
      <c r="A182" s="87"/>
      <c r="B182" s="87"/>
      <c r="P182" s="87"/>
    </row>
    <row r="183">
      <c r="A183" s="87"/>
      <c r="B183" s="87"/>
      <c r="P183" s="87"/>
    </row>
    <row r="184">
      <c r="A184" s="87"/>
      <c r="B184" s="87"/>
      <c r="P184" s="87"/>
    </row>
    <row r="185">
      <c r="A185" s="87"/>
      <c r="B185" s="87"/>
      <c r="P185" s="87"/>
    </row>
    <row r="186">
      <c r="A186" s="87"/>
      <c r="B186" s="87"/>
      <c r="P186" s="87"/>
    </row>
    <row r="187">
      <c r="A187" s="87"/>
      <c r="B187" s="87"/>
      <c r="P187" s="87"/>
    </row>
    <row r="188">
      <c r="A188" s="87"/>
      <c r="B188" s="87"/>
      <c r="P188" s="87"/>
    </row>
    <row r="189">
      <c r="A189" s="87"/>
      <c r="B189" s="87"/>
      <c r="P189" s="87"/>
    </row>
    <row r="190">
      <c r="A190" s="87"/>
      <c r="B190" s="87"/>
      <c r="P190" s="87"/>
    </row>
    <row r="191">
      <c r="A191" s="87"/>
      <c r="B191" s="87"/>
      <c r="P191" s="87"/>
    </row>
    <row r="192">
      <c r="A192" s="87"/>
      <c r="B192" s="87"/>
      <c r="P192" s="87"/>
    </row>
    <row r="193">
      <c r="A193" s="87"/>
      <c r="B193" s="87"/>
      <c r="P193" s="87"/>
    </row>
    <row r="194">
      <c r="A194" s="87"/>
      <c r="B194" s="87"/>
      <c r="P194" s="87"/>
    </row>
    <row r="195">
      <c r="A195" s="87"/>
      <c r="B195" s="87"/>
      <c r="P195" s="87"/>
    </row>
    <row r="196">
      <c r="A196" s="87"/>
      <c r="B196" s="87"/>
      <c r="P196" s="87"/>
    </row>
    <row r="197">
      <c r="A197" s="87"/>
      <c r="B197" s="87"/>
      <c r="P197" s="87"/>
    </row>
    <row r="198">
      <c r="A198" s="87"/>
      <c r="B198" s="87"/>
      <c r="P198" s="87"/>
    </row>
    <row r="199">
      <c r="A199" s="87"/>
      <c r="B199" s="87"/>
      <c r="P199" s="87"/>
    </row>
    <row r="200">
      <c r="A200" s="87"/>
      <c r="B200" s="87"/>
      <c r="P200" s="87"/>
    </row>
    <row r="201">
      <c r="A201" s="87"/>
      <c r="B201" s="87"/>
      <c r="P201" s="87"/>
    </row>
    <row r="202">
      <c r="A202" s="87"/>
      <c r="B202" s="87"/>
      <c r="P202" s="87"/>
    </row>
    <row r="203">
      <c r="A203" s="87"/>
      <c r="B203" s="87"/>
      <c r="P203" s="87"/>
    </row>
    <row r="204">
      <c r="A204" s="87"/>
      <c r="B204" s="87"/>
      <c r="P204" s="87"/>
    </row>
    <row r="205">
      <c r="A205" s="87"/>
      <c r="B205" s="87"/>
      <c r="P205" s="87"/>
    </row>
    <row r="206">
      <c r="A206" s="87"/>
      <c r="B206" s="87"/>
      <c r="P206" s="87"/>
    </row>
    <row r="207">
      <c r="A207" s="87"/>
      <c r="B207" s="87"/>
      <c r="P207" s="87"/>
    </row>
    <row r="208">
      <c r="A208" s="87"/>
      <c r="B208" s="87"/>
      <c r="P208" s="87"/>
    </row>
    <row r="209">
      <c r="A209" s="87"/>
      <c r="B209" s="87"/>
      <c r="P209" s="87"/>
    </row>
    <row r="210">
      <c r="A210" s="87"/>
      <c r="B210" s="87"/>
      <c r="P210" s="87"/>
    </row>
    <row r="211">
      <c r="A211" s="87"/>
      <c r="B211" s="87"/>
      <c r="P211" s="87"/>
    </row>
    <row r="212">
      <c r="A212" s="87"/>
      <c r="B212" s="87"/>
      <c r="P212" s="87"/>
    </row>
    <row r="213">
      <c r="A213" s="87"/>
      <c r="B213" s="87"/>
      <c r="P213" s="87"/>
    </row>
    <row r="214">
      <c r="A214" s="87"/>
      <c r="B214" s="87"/>
      <c r="P214" s="87"/>
    </row>
    <row r="215">
      <c r="A215" s="87"/>
      <c r="B215" s="87"/>
      <c r="P215" s="87"/>
    </row>
    <row r="216">
      <c r="A216" s="87"/>
      <c r="B216" s="87"/>
      <c r="P216" s="87"/>
    </row>
    <row r="217">
      <c r="A217" s="87"/>
      <c r="B217" s="87"/>
      <c r="P217" s="87"/>
    </row>
    <row r="218">
      <c r="A218" s="87"/>
      <c r="B218" s="87"/>
      <c r="P218" s="87"/>
    </row>
    <row r="219">
      <c r="A219" s="87"/>
      <c r="B219" s="87"/>
      <c r="P219" s="87"/>
    </row>
    <row r="220">
      <c r="A220" s="87"/>
      <c r="B220" s="87"/>
      <c r="P220" s="87"/>
    </row>
    <row r="221">
      <c r="A221" s="87"/>
      <c r="B221" s="87"/>
      <c r="P221" s="87"/>
    </row>
    <row r="222">
      <c r="A222" s="87"/>
      <c r="B222" s="87"/>
      <c r="P222" s="87"/>
    </row>
    <row r="223">
      <c r="A223" s="87"/>
      <c r="B223" s="87"/>
      <c r="P223" s="87"/>
    </row>
    <row r="224">
      <c r="A224" s="87"/>
      <c r="B224" s="87"/>
      <c r="P224" s="87"/>
    </row>
    <row r="225">
      <c r="A225" s="87"/>
      <c r="B225" s="87"/>
      <c r="P225" s="87"/>
    </row>
    <row r="226">
      <c r="A226" s="87"/>
      <c r="B226" s="87"/>
      <c r="P226" s="87"/>
    </row>
    <row r="227">
      <c r="A227" s="87"/>
      <c r="B227" s="87"/>
      <c r="P227" s="87"/>
    </row>
    <row r="228">
      <c r="A228" s="87"/>
      <c r="B228" s="87"/>
      <c r="P228" s="87"/>
    </row>
    <row r="229">
      <c r="A229" s="87"/>
      <c r="B229" s="87"/>
      <c r="P229" s="87"/>
    </row>
    <row r="230">
      <c r="A230" s="87"/>
      <c r="B230" s="87"/>
      <c r="P230" s="87"/>
    </row>
    <row r="231">
      <c r="A231" s="87"/>
      <c r="B231" s="87"/>
      <c r="P231" s="87"/>
    </row>
    <row r="232">
      <c r="A232" s="87"/>
      <c r="B232" s="87"/>
      <c r="P232" s="87"/>
    </row>
    <row r="233">
      <c r="A233" s="87"/>
      <c r="B233" s="87"/>
      <c r="P233" s="87"/>
    </row>
    <row r="234">
      <c r="A234" s="87"/>
      <c r="B234" s="87"/>
      <c r="P234" s="87"/>
    </row>
    <row r="235">
      <c r="A235" s="87"/>
      <c r="B235" s="87"/>
      <c r="P235" s="87"/>
    </row>
    <row r="236">
      <c r="A236" s="87"/>
      <c r="B236" s="87"/>
      <c r="P236" s="87"/>
    </row>
    <row r="237">
      <c r="A237" s="87"/>
      <c r="B237" s="87"/>
      <c r="P237" s="87"/>
    </row>
    <row r="238">
      <c r="A238" s="87"/>
      <c r="B238" s="87"/>
      <c r="P238" s="87"/>
    </row>
    <row r="239">
      <c r="A239" s="87"/>
      <c r="B239" s="87"/>
      <c r="P239" s="87"/>
    </row>
    <row r="240">
      <c r="A240" s="87"/>
      <c r="B240" s="87"/>
      <c r="P240" s="87"/>
    </row>
    <row r="241">
      <c r="A241" s="87"/>
      <c r="B241" s="87"/>
      <c r="P241" s="87"/>
    </row>
    <row r="242">
      <c r="A242" s="87"/>
      <c r="B242" s="87"/>
      <c r="P242" s="87"/>
    </row>
    <row r="243">
      <c r="A243" s="87"/>
      <c r="B243" s="87"/>
      <c r="P243" s="87"/>
    </row>
    <row r="244">
      <c r="A244" s="87"/>
      <c r="B244" s="87"/>
      <c r="P244" s="87"/>
    </row>
    <row r="245">
      <c r="A245" s="87"/>
      <c r="B245" s="87"/>
      <c r="P245" s="87"/>
    </row>
    <row r="246">
      <c r="A246" s="87"/>
      <c r="B246" s="87"/>
      <c r="P246" s="87"/>
    </row>
    <row r="247">
      <c r="A247" s="87"/>
      <c r="B247" s="87"/>
      <c r="P247" s="87"/>
    </row>
    <row r="248">
      <c r="A248" s="87"/>
      <c r="B248" s="87"/>
      <c r="P248" s="87"/>
    </row>
    <row r="249">
      <c r="A249" s="87"/>
      <c r="B249" s="87"/>
      <c r="P249" s="87"/>
    </row>
    <row r="250">
      <c r="A250" s="87"/>
      <c r="B250" s="87"/>
      <c r="P250" s="87"/>
    </row>
    <row r="251">
      <c r="A251" s="87"/>
      <c r="B251" s="87"/>
      <c r="P251" s="87"/>
    </row>
    <row r="252">
      <c r="A252" s="87"/>
      <c r="B252" s="87"/>
      <c r="P252" s="87"/>
    </row>
    <row r="253">
      <c r="A253" s="87"/>
      <c r="B253" s="87"/>
      <c r="P253" s="87"/>
    </row>
    <row r="254">
      <c r="A254" s="87"/>
      <c r="B254" s="87"/>
      <c r="P254" s="87"/>
    </row>
    <row r="255">
      <c r="A255" s="87"/>
      <c r="B255" s="87"/>
      <c r="P255" s="87"/>
    </row>
    <row r="256">
      <c r="A256" s="87"/>
      <c r="B256" s="87"/>
      <c r="P256" s="87"/>
    </row>
    <row r="257">
      <c r="A257" s="87"/>
      <c r="B257" s="87"/>
      <c r="P257" s="87"/>
    </row>
    <row r="258">
      <c r="A258" s="87"/>
      <c r="B258" s="87"/>
      <c r="P258" s="87"/>
    </row>
    <row r="259">
      <c r="A259" s="87"/>
      <c r="B259" s="87"/>
      <c r="P259" s="87"/>
    </row>
    <row r="260">
      <c r="A260" s="87"/>
      <c r="B260" s="87"/>
      <c r="P260" s="87"/>
    </row>
    <row r="261">
      <c r="A261" s="87"/>
      <c r="B261" s="87"/>
      <c r="P261" s="87"/>
    </row>
    <row r="262">
      <c r="A262" s="87"/>
      <c r="B262" s="87"/>
      <c r="P262" s="87"/>
    </row>
    <row r="263">
      <c r="A263" s="87"/>
      <c r="B263" s="87"/>
      <c r="P263" s="87"/>
    </row>
    <row r="264">
      <c r="A264" s="87"/>
      <c r="B264" s="87"/>
      <c r="P264" s="87"/>
    </row>
    <row r="265">
      <c r="A265" s="87"/>
      <c r="B265" s="87"/>
      <c r="P265" s="87"/>
    </row>
    <row r="266">
      <c r="A266" s="87"/>
      <c r="B266" s="87"/>
      <c r="P266" s="87"/>
    </row>
    <row r="267">
      <c r="A267" s="87"/>
      <c r="B267" s="87"/>
      <c r="P267" s="87"/>
    </row>
    <row r="268">
      <c r="A268" s="87"/>
      <c r="B268" s="87"/>
      <c r="P268" s="87"/>
    </row>
    <row r="269">
      <c r="A269" s="87"/>
      <c r="B269" s="87"/>
      <c r="P269" s="87"/>
    </row>
    <row r="270">
      <c r="A270" s="87"/>
      <c r="B270" s="87"/>
      <c r="P270" s="87"/>
    </row>
    <row r="271">
      <c r="A271" s="87"/>
      <c r="B271" s="87"/>
      <c r="P271" s="87"/>
    </row>
    <row r="272">
      <c r="A272" s="87"/>
      <c r="B272" s="87"/>
      <c r="P272" s="87"/>
    </row>
    <row r="273">
      <c r="A273" s="87"/>
      <c r="B273" s="87"/>
      <c r="P273" s="87"/>
    </row>
    <row r="274">
      <c r="A274" s="87"/>
      <c r="B274" s="87"/>
      <c r="P274" s="87"/>
    </row>
    <row r="275">
      <c r="A275" s="87"/>
      <c r="B275" s="87"/>
      <c r="P275" s="87"/>
    </row>
    <row r="276">
      <c r="A276" s="87"/>
      <c r="B276" s="87"/>
      <c r="P276" s="87"/>
    </row>
    <row r="277">
      <c r="A277" s="87"/>
      <c r="B277" s="87"/>
      <c r="P277" s="87"/>
    </row>
    <row r="278">
      <c r="A278" s="87"/>
      <c r="B278" s="87"/>
      <c r="P278" s="87"/>
    </row>
    <row r="279">
      <c r="A279" s="87"/>
      <c r="B279" s="87"/>
      <c r="P279" s="87"/>
    </row>
    <row r="280">
      <c r="A280" s="87"/>
      <c r="B280" s="87"/>
      <c r="P280" s="87"/>
    </row>
    <row r="281">
      <c r="A281" s="87"/>
      <c r="B281" s="87"/>
      <c r="P281" s="87"/>
    </row>
    <row r="282">
      <c r="A282" s="87"/>
      <c r="B282" s="87"/>
      <c r="P282" s="87"/>
    </row>
    <row r="283">
      <c r="A283" s="87"/>
      <c r="B283" s="87"/>
      <c r="P283" s="87"/>
    </row>
    <row r="284">
      <c r="A284" s="87"/>
      <c r="B284" s="87"/>
      <c r="P284" s="87"/>
    </row>
    <row r="285">
      <c r="A285" s="87"/>
      <c r="B285" s="87"/>
      <c r="P285" s="87"/>
    </row>
    <row r="286">
      <c r="A286" s="87"/>
      <c r="B286" s="87"/>
      <c r="P286" s="87"/>
    </row>
    <row r="287">
      <c r="A287" s="87"/>
      <c r="B287" s="87"/>
      <c r="P287" s="87"/>
    </row>
    <row r="288">
      <c r="A288" s="87"/>
      <c r="B288" s="87"/>
      <c r="P288" s="87"/>
    </row>
    <row r="289">
      <c r="A289" s="87"/>
      <c r="B289" s="87"/>
      <c r="P289" s="87"/>
    </row>
    <row r="290">
      <c r="A290" s="87"/>
      <c r="B290" s="87"/>
      <c r="P290" s="87"/>
    </row>
    <row r="291">
      <c r="A291" s="87"/>
      <c r="B291" s="87"/>
      <c r="P291" s="87"/>
    </row>
    <row r="292">
      <c r="A292" s="87"/>
      <c r="B292" s="87"/>
      <c r="P292" s="87"/>
    </row>
    <row r="293">
      <c r="A293" s="87"/>
      <c r="B293" s="87"/>
      <c r="P293" s="87"/>
    </row>
    <row r="294">
      <c r="A294" s="87"/>
      <c r="B294" s="87"/>
      <c r="P294" s="87"/>
    </row>
    <row r="295">
      <c r="A295" s="87"/>
      <c r="B295" s="87"/>
      <c r="P295" s="87"/>
    </row>
    <row r="296">
      <c r="A296" s="87"/>
      <c r="B296" s="87"/>
      <c r="P296" s="87"/>
    </row>
    <row r="297">
      <c r="A297" s="87"/>
      <c r="B297" s="87"/>
      <c r="P297" s="87"/>
    </row>
    <row r="298">
      <c r="A298" s="87"/>
      <c r="B298" s="87"/>
      <c r="P298" s="87"/>
    </row>
    <row r="299">
      <c r="A299" s="87"/>
      <c r="B299" s="87"/>
      <c r="P299" s="87"/>
    </row>
    <row r="300">
      <c r="A300" s="87"/>
      <c r="B300" s="87"/>
      <c r="P300" s="87"/>
    </row>
    <row r="301">
      <c r="A301" s="87"/>
      <c r="B301" s="87"/>
      <c r="P301" s="87"/>
    </row>
    <row r="302">
      <c r="A302" s="87"/>
      <c r="B302" s="87"/>
      <c r="P302" s="87"/>
    </row>
    <row r="303">
      <c r="A303" s="87"/>
      <c r="B303" s="87"/>
      <c r="P303" s="87"/>
    </row>
    <row r="304">
      <c r="A304" s="87"/>
      <c r="B304" s="87"/>
      <c r="P304" s="87"/>
    </row>
    <row r="305">
      <c r="A305" s="87"/>
      <c r="B305" s="87"/>
      <c r="P305" s="87"/>
    </row>
    <row r="306">
      <c r="A306" s="87"/>
      <c r="B306" s="87"/>
      <c r="P306" s="87"/>
    </row>
    <row r="307">
      <c r="A307" s="87"/>
      <c r="B307" s="87"/>
      <c r="P307" s="87"/>
    </row>
    <row r="308">
      <c r="A308" s="87"/>
      <c r="B308" s="87"/>
      <c r="P308" s="87"/>
    </row>
    <row r="309">
      <c r="A309" s="87"/>
      <c r="B309" s="87"/>
      <c r="P309" s="87"/>
    </row>
    <row r="310">
      <c r="A310" s="87"/>
      <c r="B310" s="87"/>
      <c r="P310" s="87"/>
    </row>
    <row r="311">
      <c r="A311" s="87"/>
      <c r="B311" s="87"/>
      <c r="P311" s="87"/>
    </row>
    <row r="312">
      <c r="A312" s="87"/>
      <c r="B312" s="87"/>
      <c r="P312" s="87"/>
    </row>
    <row r="313">
      <c r="A313" s="87"/>
      <c r="B313" s="87"/>
      <c r="P313" s="87"/>
    </row>
    <row r="314">
      <c r="A314" s="87"/>
      <c r="B314" s="87"/>
      <c r="P314" s="87"/>
    </row>
    <row r="315">
      <c r="A315" s="87"/>
      <c r="B315" s="87"/>
      <c r="P315" s="87"/>
    </row>
    <row r="316">
      <c r="A316" s="87"/>
      <c r="B316" s="87"/>
      <c r="P316" s="87"/>
    </row>
    <row r="317">
      <c r="A317" s="87"/>
      <c r="B317" s="87"/>
      <c r="P317" s="87"/>
    </row>
    <row r="318">
      <c r="A318" s="87"/>
      <c r="B318" s="87"/>
      <c r="P318" s="87"/>
    </row>
    <row r="319">
      <c r="A319" s="87"/>
      <c r="B319" s="87"/>
      <c r="P319" s="87"/>
    </row>
    <row r="320">
      <c r="A320" s="87"/>
      <c r="B320" s="87"/>
      <c r="P320" s="87"/>
    </row>
    <row r="321">
      <c r="A321" s="87"/>
      <c r="B321" s="87"/>
      <c r="P321" s="87"/>
    </row>
    <row r="322">
      <c r="A322" s="87"/>
      <c r="B322" s="87"/>
      <c r="P322" s="87"/>
    </row>
    <row r="323">
      <c r="A323" s="87"/>
      <c r="B323" s="87"/>
      <c r="P323" s="87"/>
    </row>
    <row r="324">
      <c r="A324" s="87"/>
      <c r="B324" s="87"/>
      <c r="P324" s="87"/>
    </row>
    <row r="325">
      <c r="A325" s="87"/>
      <c r="B325" s="87"/>
      <c r="P325" s="87"/>
    </row>
    <row r="326">
      <c r="A326" s="87"/>
      <c r="B326" s="87"/>
      <c r="P326" s="87"/>
    </row>
    <row r="327">
      <c r="A327" s="87"/>
      <c r="B327" s="87"/>
      <c r="P327" s="87"/>
    </row>
    <row r="328">
      <c r="A328" s="87"/>
      <c r="B328" s="87"/>
      <c r="P328" s="87"/>
    </row>
    <row r="329">
      <c r="A329" s="87"/>
      <c r="B329" s="87"/>
      <c r="P329" s="87"/>
    </row>
    <row r="330">
      <c r="A330" s="87"/>
      <c r="B330" s="87"/>
      <c r="P330" s="87"/>
    </row>
    <row r="331">
      <c r="A331" s="87"/>
      <c r="B331" s="87"/>
      <c r="P331" s="87"/>
    </row>
    <row r="332">
      <c r="A332" s="87"/>
      <c r="B332" s="87"/>
      <c r="P332" s="87"/>
    </row>
    <row r="333">
      <c r="A333" s="87"/>
      <c r="B333" s="87"/>
      <c r="P333" s="87"/>
    </row>
    <row r="334">
      <c r="A334" s="87"/>
      <c r="B334" s="87"/>
      <c r="P334" s="87"/>
    </row>
    <row r="335">
      <c r="A335" s="87"/>
      <c r="B335" s="87"/>
      <c r="P335" s="87"/>
    </row>
    <row r="336">
      <c r="A336" s="87"/>
      <c r="B336" s="87"/>
      <c r="P336" s="87"/>
    </row>
    <row r="337">
      <c r="A337" s="87"/>
      <c r="B337" s="87"/>
      <c r="P337" s="87"/>
    </row>
    <row r="338">
      <c r="A338" s="87"/>
      <c r="B338" s="87"/>
      <c r="P338" s="87"/>
    </row>
    <row r="339">
      <c r="A339" s="87"/>
      <c r="B339" s="87"/>
      <c r="P339" s="87"/>
    </row>
    <row r="340">
      <c r="A340" s="87"/>
      <c r="B340" s="87"/>
      <c r="P340" s="87"/>
    </row>
    <row r="341">
      <c r="A341" s="87"/>
      <c r="B341" s="87"/>
      <c r="P341" s="87"/>
    </row>
    <row r="342">
      <c r="A342" s="87"/>
      <c r="B342" s="87"/>
      <c r="P342" s="87"/>
    </row>
    <row r="343">
      <c r="A343" s="87"/>
      <c r="B343" s="87"/>
      <c r="P343" s="87"/>
    </row>
    <row r="344">
      <c r="A344" s="87"/>
      <c r="B344" s="87"/>
      <c r="P344" s="87"/>
    </row>
    <row r="345">
      <c r="A345" s="87"/>
      <c r="B345" s="87"/>
      <c r="P345" s="87"/>
    </row>
    <row r="346">
      <c r="A346" s="87"/>
      <c r="B346" s="87"/>
      <c r="P346" s="87"/>
    </row>
    <row r="347">
      <c r="A347" s="87"/>
      <c r="B347" s="87"/>
      <c r="P347" s="87"/>
    </row>
    <row r="348">
      <c r="A348" s="87"/>
      <c r="B348" s="87"/>
      <c r="P348" s="87"/>
    </row>
    <row r="349">
      <c r="A349" s="87"/>
      <c r="B349" s="87"/>
      <c r="P349" s="87"/>
    </row>
    <row r="350">
      <c r="A350" s="87"/>
      <c r="B350" s="87"/>
      <c r="P350" s="87"/>
    </row>
    <row r="351">
      <c r="A351" s="87"/>
      <c r="B351" s="87"/>
      <c r="P351" s="87"/>
    </row>
    <row r="352">
      <c r="A352" s="87"/>
      <c r="B352" s="87"/>
      <c r="P352" s="87"/>
    </row>
    <row r="353">
      <c r="A353" s="87"/>
      <c r="B353" s="87"/>
      <c r="P353" s="87"/>
    </row>
    <row r="354">
      <c r="A354" s="87"/>
      <c r="B354" s="87"/>
      <c r="P354" s="87"/>
    </row>
    <row r="355">
      <c r="A355" s="87"/>
      <c r="B355" s="87"/>
      <c r="P355" s="87"/>
    </row>
    <row r="356">
      <c r="A356" s="87"/>
      <c r="B356" s="87"/>
      <c r="P356" s="87"/>
    </row>
    <row r="357">
      <c r="A357" s="87"/>
      <c r="B357" s="87"/>
      <c r="P357" s="87"/>
    </row>
    <row r="358">
      <c r="A358" s="87"/>
      <c r="B358" s="87"/>
      <c r="P358" s="87"/>
    </row>
    <row r="359">
      <c r="A359" s="87"/>
      <c r="B359" s="87"/>
      <c r="P359" s="87"/>
    </row>
    <row r="360">
      <c r="A360" s="87"/>
      <c r="B360" s="87"/>
      <c r="P360" s="87"/>
    </row>
    <row r="361">
      <c r="A361" s="87"/>
      <c r="B361" s="87"/>
      <c r="P361" s="87"/>
    </row>
    <row r="362">
      <c r="A362" s="87"/>
      <c r="B362" s="87"/>
      <c r="P362" s="87"/>
    </row>
    <row r="363">
      <c r="A363" s="87"/>
      <c r="B363" s="87"/>
      <c r="P363" s="87"/>
    </row>
    <row r="364">
      <c r="A364" s="87"/>
      <c r="B364" s="87"/>
      <c r="P364" s="87"/>
    </row>
    <row r="365">
      <c r="A365" s="87"/>
      <c r="B365" s="87"/>
      <c r="P365" s="87"/>
    </row>
    <row r="366">
      <c r="A366" s="87"/>
      <c r="B366" s="87"/>
      <c r="P366" s="87"/>
    </row>
    <row r="367">
      <c r="A367" s="87"/>
      <c r="B367" s="87"/>
      <c r="P367" s="87"/>
    </row>
    <row r="368">
      <c r="A368" s="87"/>
      <c r="B368" s="87"/>
      <c r="P368" s="87"/>
    </row>
    <row r="369">
      <c r="A369" s="87"/>
      <c r="B369" s="87"/>
      <c r="P369" s="87"/>
    </row>
    <row r="370">
      <c r="A370" s="87"/>
      <c r="B370" s="87"/>
      <c r="P370" s="87"/>
    </row>
    <row r="371">
      <c r="A371" s="87"/>
      <c r="B371" s="87"/>
      <c r="P371" s="87"/>
    </row>
    <row r="372">
      <c r="A372" s="87"/>
      <c r="B372" s="87"/>
      <c r="P372" s="87"/>
    </row>
    <row r="373">
      <c r="A373" s="87"/>
      <c r="B373" s="87"/>
      <c r="P373" s="87"/>
    </row>
    <row r="374">
      <c r="A374" s="87"/>
      <c r="B374" s="87"/>
      <c r="P374" s="87"/>
    </row>
    <row r="375">
      <c r="A375" s="87"/>
      <c r="B375" s="87"/>
      <c r="P375" s="87"/>
    </row>
    <row r="376">
      <c r="A376" s="87"/>
      <c r="B376" s="87"/>
      <c r="P376" s="87"/>
    </row>
    <row r="377">
      <c r="A377" s="87"/>
      <c r="B377" s="87"/>
      <c r="P377" s="87"/>
    </row>
    <row r="378">
      <c r="A378" s="87"/>
      <c r="B378" s="87"/>
      <c r="P378" s="87"/>
    </row>
    <row r="379">
      <c r="A379" s="87"/>
      <c r="B379" s="87"/>
      <c r="P379" s="87"/>
    </row>
    <row r="380">
      <c r="A380" s="87"/>
      <c r="B380" s="87"/>
      <c r="P380" s="87"/>
    </row>
    <row r="381">
      <c r="A381" s="87"/>
      <c r="B381" s="87"/>
      <c r="P381" s="87"/>
    </row>
    <row r="382">
      <c r="A382" s="87"/>
      <c r="B382" s="87"/>
      <c r="P382" s="87"/>
    </row>
    <row r="383">
      <c r="A383" s="87"/>
      <c r="B383" s="87"/>
      <c r="P383" s="87"/>
    </row>
    <row r="384">
      <c r="A384" s="87"/>
      <c r="B384" s="87"/>
      <c r="P384" s="87"/>
    </row>
    <row r="385">
      <c r="A385" s="87"/>
      <c r="B385" s="87"/>
      <c r="P385" s="87"/>
    </row>
    <row r="386">
      <c r="A386" s="87"/>
      <c r="B386" s="87"/>
      <c r="P386" s="87"/>
    </row>
    <row r="387">
      <c r="A387" s="87"/>
      <c r="B387" s="87"/>
      <c r="P387" s="87"/>
    </row>
    <row r="388">
      <c r="A388" s="87"/>
      <c r="B388" s="87"/>
      <c r="P388" s="87"/>
    </row>
    <row r="389">
      <c r="A389" s="87"/>
      <c r="B389" s="87"/>
      <c r="P389" s="87"/>
    </row>
    <row r="390">
      <c r="A390" s="87"/>
      <c r="B390" s="87"/>
      <c r="P390" s="87"/>
    </row>
    <row r="391">
      <c r="A391" s="87"/>
      <c r="B391" s="87"/>
      <c r="P391" s="87"/>
    </row>
    <row r="392">
      <c r="A392" s="87"/>
      <c r="B392" s="87"/>
      <c r="P392" s="87"/>
    </row>
    <row r="393">
      <c r="A393" s="87"/>
      <c r="B393" s="87"/>
      <c r="P393" s="87"/>
    </row>
    <row r="394">
      <c r="A394" s="87"/>
      <c r="B394" s="87"/>
      <c r="P394" s="87"/>
    </row>
    <row r="395">
      <c r="A395" s="87"/>
      <c r="B395" s="87"/>
      <c r="P395" s="87"/>
    </row>
    <row r="396">
      <c r="A396" s="87"/>
      <c r="B396" s="87"/>
      <c r="P396" s="87"/>
    </row>
    <row r="397">
      <c r="A397" s="87"/>
      <c r="B397" s="87"/>
      <c r="P397" s="87"/>
    </row>
    <row r="398">
      <c r="A398" s="87"/>
      <c r="B398" s="87"/>
      <c r="P398" s="87"/>
    </row>
    <row r="399">
      <c r="A399" s="87"/>
      <c r="B399" s="87"/>
      <c r="P399" s="87"/>
    </row>
    <row r="400">
      <c r="A400" s="87"/>
      <c r="B400" s="87"/>
      <c r="P400" s="87"/>
    </row>
    <row r="401">
      <c r="A401" s="87"/>
      <c r="B401" s="87"/>
      <c r="P401" s="87"/>
    </row>
    <row r="402">
      <c r="A402" s="87"/>
      <c r="B402" s="87"/>
      <c r="P402" s="87"/>
    </row>
    <row r="403">
      <c r="A403" s="87"/>
      <c r="B403" s="87"/>
      <c r="P403" s="87"/>
    </row>
    <row r="404">
      <c r="A404" s="87"/>
      <c r="B404" s="87"/>
      <c r="P404" s="87"/>
    </row>
    <row r="405">
      <c r="A405" s="87"/>
      <c r="B405" s="87"/>
      <c r="P405" s="87"/>
    </row>
    <row r="406">
      <c r="A406" s="87"/>
      <c r="B406" s="87"/>
      <c r="P406" s="87"/>
    </row>
    <row r="407">
      <c r="A407" s="87"/>
      <c r="B407" s="87"/>
      <c r="P407" s="87"/>
    </row>
    <row r="408">
      <c r="A408" s="87"/>
      <c r="B408" s="87"/>
      <c r="P408" s="87"/>
    </row>
    <row r="409">
      <c r="A409" s="87"/>
      <c r="B409" s="87"/>
      <c r="P409" s="87"/>
    </row>
    <row r="410">
      <c r="A410" s="87"/>
      <c r="B410" s="87"/>
      <c r="P410" s="87"/>
    </row>
    <row r="411">
      <c r="A411" s="87"/>
      <c r="B411" s="87"/>
      <c r="P411" s="87"/>
    </row>
    <row r="412">
      <c r="A412" s="87"/>
      <c r="B412" s="87"/>
      <c r="P412" s="87"/>
    </row>
    <row r="413">
      <c r="A413" s="87"/>
      <c r="B413" s="87"/>
      <c r="P413" s="87"/>
    </row>
    <row r="414">
      <c r="A414" s="87"/>
      <c r="B414" s="87"/>
      <c r="P414" s="87"/>
    </row>
    <row r="415">
      <c r="A415" s="87"/>
      <c r="B415" s="87"/>
      <c r="P415" s="87"/>
    </row>
    <row r="416">
      <c r="A416" s="87"/>
      <c r="B416" s="87"/>
      <c r="P416" s="87"/>
    </row>
    <row r="417">
      <c r="A417" s="87"/>
      <c r="B417" s="87"/>
      <c r="P417" s="87"/>
    </row>
    <row r="418">
      <c r="A418" s="87"/>
      <c r="B418" s="87"/>
      <c r="P418" s="87"/>
    </row>
    <row r="419">
      <c r="A419" s="87"/>
      <c r="B419" s="87"/>
      <c r="P419" s="87"/>
    </row>
    <row r="420">
      <c r="A420" s="87"/>
      <c r="B420" s="87"/>
      <c r="P420" s="87"/>
    </row>
    <row r="421">
      <c r="A421" s="87"/>
      <c r="B421" s="87"/>
      <c r="P421" s="87"/>
    </row>
    <row r="422">
      <c r="A422" s="87"/>
      <c r="B422" s="87"/>
      <c r="P422" s="87"/>
    </row>
    <row r="423">
      <c r="A423" s="87"/>
      <c r="B423" s="87"/>
      <c r="P423" s="87"/>
    </row>
    <row r="424">
      <c r="A424" s="87"/>
      <c r="B424" s="87"/>
      <c r="P424" s="87"/>
    </row>
    <row r="425">
      <c r="A425" s="87"/>
      <c r="B425" s="87"/>
      <c r="P425" s="87"/>
    </row>
    <row r="426">
      <c r="A426" s="87"/>
      <c r="B426" s="87"/>
      <c r="P426" s="87"/>
    </row>
    <row r="427">
      <c r="A427" s="87"/>
      <c r="B427" s="87"/>
      <c r="P427" s="87"/>
    </row>
    <row r="428">
      <c r="A428" s="87"/>
      <c r="B428" s="87"/>
      <c r="P428" s="87"/>
    </row>
    <row r="429">
      <c r="A429" s="87"/>
      <c r="B429" s="87"/>
      <c r="P429" s="87"/>
    </row>
    <row r="430">
      <c r="A430" s="87"/>
      <c r="B430" s="87"/>
      <c r="P430" s="87"/>
    </row>
    <row r="431">
      <c r="A431" s="87"/>
      <c r="B431" s="87"/>
      <c r="P431" s="87"/>
    </row>
    <row r="432">
      <c r="A432" s="87"/>
      <c r="B432" s="87"/>
      <c r="P432" s="87"/>
    </row>
    <row r="433">
      <c r="A433" s="87"/>
      <c r="B433" s="87"/>
      <c r="P433" s="87"/>
    </row>
    <row r="434">
      <c r="A434" s="87"/>
      <c r="B434" s="87"/>
      <c r="P434" s="87"/>
    </row>
    <row r="435">
      <c r="A435" s="87"/>
      <c r="B435" s="87"/>
      <c r="P435" s="87"/>
    </row>
    <row r="436">
      <c r="A436" s="87"/>
      <c r="B436" s="87"/>
      <c r="P436" s="87"/>
    </row>
    <row r="437">
      <c r="A437" s="87"/>
      <c r="B437" s="87"/>
      <c r="P437" s="87"/>
    </row>
    <row r="438">
      <c r="A438" s="87"/>
      <c r="B438" s="87"/>
      <c r="P438" s="87"/>
    </row>
    <row r="439">
      <c r="A439" s="87"/>
      <c r="B439" s="87"/>
      <c r="P439" s="87"/>
    </row>
    <row r="440">
      <c r="A440" s="87"/>
      <c r="B440" s="87"/>
      <c r="P440" s="87"/>
    </row>
    <row r="441">
      <c r="A441" s="87"/>
      <c r="B441" s="87"/>
      <c r="P441" s="87"/>
    </row>
    <row r="442">
      <c r="A442" s="87"/>
      <c r="B442" s="87"/>
      <c r="P442" s="87"/>
    </row>
    <row r="443">
      <c r="A443" s="87"/>
      <c r="B443" s="87"/>
      <c r="P443" s="87"/>
    </row>
    <row r="444">
      <c r="A444" s="87"/>
      <c r="B444" s="87"/>
      <c r="P444" s="87"/>
    </row>
    <row r="445">
      <c r="A445" s="87"/>
      <c r="B445" s="87"/>
      <c r="P445" s="87"/>
    </row>
    <row r="446">
      <c r="A446" s="87"/>
      <c r="B446" s="87"/>
      <c r="P446" s="87"/>
    </row>
    <row r="447">
      <c r="A447" s="87"/>
      <c r="B447" s="87"/>
      <c r="P447" s="87"/>
    </row>
    <row r="448">
      <c r="A448" s="87"/>
      <c r="B448" s="87"/>
      <c r="P448" s="87"/>
    </row>
    <row r="449">
      <c r="A449" s="87"/>
      <c r="B449" s="87"/>
      <c r="P449" s="87"/>
    </row>
    <row r="450">
      <c r="A450" s="87"/>
      <c r="B450" s="87"/>
      <c r="P450" s="87"/>
    </row>
    <row r="451">
      <c r="A451" s="87"/>
      <c r="B451" s="87"/>
      <c r="P451" s="87"/>
    </row>
    <row r="452">
      <c r="A452" s="87"/>
      <c r="B452" s="87"/>
      <c r="P452" s="87"/>
    </row>
    <row r="453">
      <c r="A453" s="87"/>
      <c r="B453" s="87"/>
      <c r="P453" s="87"/>
    </row>
    <row r="454">
      <c r="A454" s="87"/>
      <c r="B454" s="87"/>
      <c r="P454" s="87"/>
    </row>
    <row r="455">
      <c r="A455" s="87"/>
      <c r="B455" s="87"/>
      <c r="P455" s="87"/>
    </row>
    <row r="456">
      <c r="A456" s="87"/>
      <c r="B456" s="87"/>
      <c r="P456" s="87"/>
    </row>
    <row r="457">
      <c r="A457" s="87"/>
      <c r="B457" s="87"/>
      <c r="P457" s="87"/>
    </row>
    <row r="458">
      <c r="A458" s="87"/>
      <c r="B458" s="87"/>
      <c r="P458" s="87"/>
    </row>
    <row r="459">
      <c r="A459" s="87"/>
      <c r="B459" s="87"/>
      <c r="P459" s="87"/>
    </row>
    <row r="460">
      <c r="A460" s="87"/>
      <c r="B460" s="87"/>
      <c r="P460" s="87"/>
    </row>
    <row r="461">
      <c r="A461" s="87"/>
      <c r="B461" s="87"/>
      <c r="P461" s="87"/>
    </row>
    <row r="462">
      <c r="A462" s="87"/>
      <c r="B462" s="87"/>
      <c r="P462" s="87"/>
    </row>
    <row r="463">
      <c r="A463" s="87"/>
      <c r="B463" s="87"/>
      <c r="P463" s="87"/>
    </row>
    <row r="464">
      <c r="A464" s="87"/>
      <c r="B464" s="87"/>
      <c r="P464" s="87"/>
    </row>
    <row r="465">
      <c r="A465" s="87"/>
      <c r="B465" s="87"/>
      <c r="P465" s="87"/>
    </row>
    <row r="466">
      <c r="A466" s="87"/>
      <c r="B466" s="87"/>
      <c r="P466" s="87"/>
    </row>
    <row r="467">
      <c r="A467" s="87"/>
      <c r="B467" s="87"/>
      <c r="P467" s="87"/>
    </row>
    <row r="468">
      <c r="A468" s="87"/>
      <c r="B468" s="87"/>
      <c r="P468" s="87"/>
    </row>
    <row r="469">
      <c r="A469" s="87"/>
      <c r="B469" s="87"/>
      <c r="P469" s="87"/>
    </row>
    <row r="470">
      <c r="A470" s="87"/>
      <c r="B470" s="87"/>
      <c r="P470" s="87"/>
    </row>
    <row r="471">
      <c r="A471" s="87"/>
      <c r="B471" s="87"/>
      <c r="P471" s="87"/>
    </row>
    <row r="472">
      <c r="A472" s="87"/>
      <c r="B472" s="87"/>
      <c r="P472" s="87"/>
    </row>
    <row r="473">
      <c r="A473" s="87"/>
      <c r="B473" s="87"/>
      <c r="P473" s="87"/>
    </row>
    <row r="474">
      <c r="A474" s="87"/>
      <c r="B474" s="87"/>
      <c r="P474" s="87"/>
    </row>
    <row r="475">
      <c r="A475" s="87"/>
      <c r="B475" s="87"/>
      <c r="P475" s="87"/>
    </row>
    <row r="476">
      <c r="A476" s="87"/>
      <c r="B476" s="87"/>
      <c r="P476" s="87"/>
    </row>
    <row r="477">
      <c r="A477" s="87"/>
      <c r="B477" s="87"/>
      <c r="P477" s="87"/>
    </row>
    <row r="478">
      <c r="A478" s="87"/>
      <c r="B478" s="87"/>
      <c r="P478" s="87"/>
    </row>
    <row r="479">
      <c r="A479" s="87"/>
      <c r="B479" s="87"/>
      <c r="P479" s="87"/>
    </row>
    <row r="480">
      <c r="A480" s="87"/>
      <c r="B480" s="87"/>
      <c r="P480" s="87"/>
    </row>
    <row r="481">
      <c r="A481" s="87"/>
      <c r="B481" s="87"/>
      <c r="P481" s="87"/>
    </row>
    <row r="482">
      <c r="A482" s="87"/>
      <c r="B482" s="87"/>
      <c r="P482" s="87"/>
    </row>
    <row r="483">
      <c r="A483" s="87"/>
      <c r="B483" s="87"/>
      <c r="P483" s="87"/>
    </row>
    <row r="484">
      <c r="A484" s="87"/>
      <c r="B484" s="87"/>
      <c r="P484" s="87"/>
    </row>
    <row r="485">
      <c r="A485" s="87"/>
      <c r="B485" s="87"/>
      <c r="P485" s="87"/>
    </row>
    <row r="486">
      <c r="A486" s="87"/>
      <c r="B486" s="87"/>
      <c r="P486" s="87"/>
    </row>
    <row r="487">
      <c r="A487" s="87"/>
      <c r="B487" s="87"/>
      <c r="P487" s="87"/>
    </row>
    <row r="488">
      <c r="A488" s="87"/>
      <c r="B488" s="87"/>
      <c r="P488" s="87"/>
    </row>
    <row r="489">
      <c r="A489" s="87"/>
      <c r="B489" s="87"/>
      <c r="P489" s="87"/>
    </row>
    <row r="490">
      <c r="A490" s="87"/>
      <c r="B490" s="87"/>
      <c r="P490" s="87"/>
    </row>
    <row r="491">
      <c r="A491" s="87"/>
      <c r="B491" s="87"/>
      <c r="P491" s="87"/>
    </row>
    <row r="492">
      <c r="A492" s="87"/>
      <c r="B492" s="87"/>
      <c r="P492" s="87"/>
    </row>
    <row r="493">
      <c r="A493" s="87"/>
      <c r="B493" s="87"/>
      <c r="P493" s="87"/>
    </row>
    <row r="494">
      <c r="A494" s="87"/>
      <c r="B494" s="87"/>
      <c r="P494" s="87"/>
    </row>
    <row r="495">
      <c r="A495" s="87"/>
      <c r="B495" s="87"/>
      <c r="P495" s="87"/>
    </row>
    <row r="496">
      <c r="A496" s="87"/>
      <c r="B496" s="87"/>
      <c r="P496" s="87"/>
    </row>
    <row r="497">
      <c r="A497" s="87"/>
      <c r="B497" s="87"/>
      <c r="P497" s="87"/>
    </row>
    <row r="498">
      <c r="A498" s="87"/>
      <c r="B498" s="87"/>
      <c r="P498" s="87"/>
    </row>
    <row r="499">
      <c r="A499" s="87"/>
      <c r="B499" s="87"/>
      <c r="P499" s="87"/>
    </row>
    <row r="500">
      <c r="A500" s="87"/>
      <c r="B500" s="87"/>
      <c r="P500" s="87"/>
    </row>
    <row r="501">
      <c r="A501" s="87"/>
      <c r="B501" s="87"/>
      <c r="P501" s="87"/>
    </row>
    <row r="502">
      <c r="A502" s="87"/>
      <c r="B502" s="87"/>
      <c r="P502" s="87"/>
    </row>
    <row r="503">
      <c r="A503" s="87"/>
      <c r="B503" s="87"/>
      <c r="P503" s="87"/>
    </row>
    <row r="504">
      <c r="A504" s="87"/>
      <c r="B504" s="87"/>
      <c r="P504" s="87"/>
    </row>
    <row r="505">
      <c r="A505" s="87"/>
      <c r="B505" s="87"/>
      <c r="P505" s="87"/>
    </row>
    <row r="506">
      <c r="A506" s="87"/>
      <c r="B506" s="87"/>
      <c r="P506" s="87"/>
    </row>
    <row r="507">
      <c r="A507" s="87"/>
      <c r="B507" s="87"/>
      <c r="P507" s="87"/>
    </row>
    <row r="508">
      <c r="A508" s="87"/>
      <c r="B508" s="87"/>
      <c r="P508" s="87"/>
    </row>
    <row r="509">
      <c r="A509" s="87"/>
      <c r="B509" s="87"/>
      <c r="P509" s="87"/>
    </row>
    <row r="510">
      <c r="A510" s="87"/>
      <c r="B510" s="87"/>
      <c r="P510" s="87"/>
    </row>
    <row r="511">
      <c r="A511" s="87"/>
      <c r="B511" s="87"/>
      <c r="P511" s="87"/>
    </row>
    <row r="512">
      <c r="A512" s="87"/>
      <c r="B512" s="87"/>
      <c r="P512" s="87"/>
    </row>
    <row r="513">
      <c r="A513" s="87"/>
      <c r="B513" s="87"/>
      <c r="P513" s="87"/>
    </row>
    <row r="514">
      <c r="A514" s="87"/>
      <c r="B514" s="87"/>
      <c r="P514" s="87"/>
    </row>
    <row r="515">
      <c r="A515" s="87"/>
      <c r="B515" s="87"/>
      <c r="P515" s="87"/>
    </row>
    <row r="516">
      <c r="A516" s="87"/>
      <c r="B516" s="87"/>
      <c r="P516" s="87"/>
    </row>
    <row r="517">
      <c r="A517" s="87"/>
      <c r="B517" s="87"/>
      <c r="P517" s="87"/>
    </row>
    <row r="518">
      <c r="A518" s="87"/>
      <c r="B518" s="87"/>
      <c r="P518" s="87"/>
    </row>
    <row r="519">
      <c r="A519" s="87"/>
      <c r="B519" s="87"/>
      <c r="P519" s="87"/>
    </row>
    <row r="520">
      <c r="A520" s="87"/>
      <c r="B520" s="87"/>
      <c r="P520" s="87"/>
    </row>
    <row r="521">
      <c r="A521" s="87"/>
      <c r="B521" s="87"/>
      <c r="P521" s="87"/>
    </row>
    <row r="522">
      <c r="A522" s="87"/>
      <c r="B522" s="87"/>
      <c r="P522" s="87"/>
    </row>
    <row r="523">
      <c r="A523" s="87"/>
      <c r="B523" s="87"/>
      <c r="P523" s="87"/>
    </row>
    <row r="524">
      <c r="A524" s="87"/>
      <c r="B524" s="87"/>
      <c r="P524" s="87"/>
    </row>
    <row r="525">
      <c r="A525" s="87"/>
      <c r="B525" s="87"/>
      <c r="P525" s="87"/>
    </row>
    <row r="526">
      <c r="A526" s="87"/>
      <c r="B526" s="87"/>
      <c r="P526" s="87"/>
    </row>
    <row r="527">
      <c r="A527" s="87"/>
      <c r="B527" s="87"/>
      <c r="P527" s="87"/>
    </row>
    <row r="528">
      <c r="A528" s="87"/>
      <c r="B528" s="87"/>
      <c r="P528" s="87"/>
    </row>
    <row r="529">
      <c r="A529" s="87"/>
      <c r="B529" s="87"/>
      <c r="P529" s="87"/>
    </row>
    <row r="530">
      <c r="A530" s="87"/>
      <c r="B530" s="87"/>
      <c r="P530" s="87"/>
    </row>
    <row r="531">
      <c r="A531" s="87"/>
      <c r="B531" s="87"/>
      <c r="P531" s="87"/>
    </row>
    <row r="532">
      <c r="A532" s="87"/>
      <c r="B532" s="87"/>
      <c r="P532" s="87"/>
    </row>
    <row r="533">
      <c r="A533" s="87"/>
      <c r="B533" s="87"/>
      <c r="P533" s="87"/>
    </row>
    <row r="534">
      <c r="A534" s="87"/>
      <c r="B534" s="87"/>
      <c r="P534" s="87"/>
    </row>
    <row r="535">
      <c r="A535" s="87"/>
      <c r="B535" s="87"/>
      <c r="P535" s="87"/>
    </row>
    <row r="536">
      <c r="A536" s="87"/>
      <c r="B536" s="87"/>
      <c r="P536" s="87"/>
    </row>
    <row r="537">
      <c r="A537" s="87"/>
      <c r="B537" s="87"/>
      <c r="P537" s="87"/>
    </row>
    <row r="538">
      <c r="A538" s="87"/>
      <c r="B538" s="87"/>
      <c r="P538" s="87"/>
    </row>
    <row r="539">
      <c r="A539" s="87"/>
      <c r="B539" s="87"/>
      <c r="P539" s="87"/>
    </row>
    <row r="540">
      <c r="A540" s="87"/>
      <c r="B540" s="87"/>
      <c r="P540" s="87"/>
    </row>
    <row r="541">
      <c r="A541" s="87"/>
      <c r="B541" s="87"/>
      <c r="P541" s="87"/>
    </row>
    <row r="542">
      <c r="A542" s="87"/>
      <c r="B542" s="87"/>
      <c r="P542" s="87"/>
    </row>
    <row r="543">
      <c r="A543" s="87"/>
      <c r="B543" s="87"/>
      <c r="P543" s="87"/>
    </row>
    <row r="544">
      <c r="A544" s="87"/>
      <c r="B544" s="87"/>
      <c r="P544" s="87"/>
    </row>
    <row r="545">
      <c r="A545" s="87"/>
      <c r="B545" s="87"/>
      <c r="P545" s="87"/>
    </row>
    <row r="546">
      <c r="A546" s="87"/>
      <c r="B546" s="87"/>
      <c r="P546" s="87"/>
    </row>
    <row r="547">
      <c r="A547" s="87"/>
      <c r="B547" s="87"/>
      <c r="P547" s="87"/>
    </row>
    <row r="548">
      <c r="A548" s="87"/>
      <c r="B548" s="87"/>
      <c r="P548" s="87"/>
    </row>
    <row r="549">
      <c r="A549" s="87"/>
      <c r="B549" s="87"/>
      <c r="P549" s="87"/>
    </row>
    <row r="550">
      <c r="A550" s="87"/>
      <c r="B550" s="87"/>
      <c r="P550" s="87"/>
    </row>
    <row r="551">
      <c r="A551" s="87"/>
      <c r="B551" s="87"/>
      <c r="P551" s="87"/>
    </row>
    <row r="552">
      <c r="A552" s="87"/>
      <c r="B552" s="87"/>
      <c r="P552" s="87"/>
    </row>
    <row r="553">
      <c r="A553" s="87"/>
      <c r="B553" s="87"/>
      <c r="P553" s="87"/>
    </row>
    <row r="554">
      <c r="A554" s="87"/>
      <c r="B554" s="87"/>
      <c r="P554" s="87"/>
    </row>
    <row r="555">
      <c r="A555" s="87"/>
      <c r="B555" s="87"/>
      <c r="P555" s="87"/>
    </row>
    <row r="556">
      <c r="A556" s="87"/>
      <c r="B556" s="87"/>
      <c r="P556" s="87"/>
    </row>
    <row r="557">
      <c r="A557" s="87"/>
      <c r="B557" s="87"/>
      <c r="P557" s="87"/>
    </row>
    <row r="558">
      <c r="A558" s="87"/>
      <c r="B558" s="87"/>
      <c r="P558" s="87"/>
    </row>
    <row r="559">
      <c r="A559" s="87"/>
      <c r="B559" s="87"/>
      <c r="P559" s="87"/>
    </row>
    <row r="560">
      <c r="A560" s="87"/>
      <c r="B560" s="87"/>
      <c r="P560" s="87"/>
    </row>
    <row r="561">
      <c r="A561" s="87"/>
      <c r="B561" s="87"/>
      <c r="P561" s="87"/>
    </row>
    <row r="562">
      <c r="A562" s="87"/>
      <c r="B562" s="87"/>
      <c r="P562" s="87"/>
    </row>
    <row r="563">
      <c r="A563" s="87"/>
      <c r="B563" s="87"/>
      <c r="P563" s="87"/>
    </row>
    <row r="564">
      <c r="A564" s="87"/>
      <c r="B564" s="87"/>
      <c r="P564" s="87"/>
    </row>
    <row r="565">
      <c r="A565" s="87"/>
      <c r="B565" s="87"/>
      <c r="P565" s="87"/>
    </row>
    <row r="566">
      <c r="A566" s="87"/>
      <c r="B566" s="87"/>
      <c r="P566" s="87"/>
    </row>
    <row r="567">
      <c r="A567" s="87"/>
      <c r="B567" s="87"/>
      <c r="P567" s="87"/>
    </row>
    <row r="568">
      <c r="A568" s="87"/>
      <c r="B568" s="87"/>
      <c r="P568" s="87"/>
    </row>
    <row r="569">
      <c r="A569" s="87"/>
      <c r="B569" s="87"/>
      <c r="P569" s="87"/>
    </row>
    <row r="570">
      <c r="A570" s="87"/>
      <c r="B570" s="87"/>
      <c r="P570" s="87"/>
    </row>
    <row r="571">
      <c r="A571" s="87"/>
      <c r="B571" s="87"/>
      <c r="P571" s="87"/>
    </row>
    <row r="572">
      <c r="A572" s="87"/>
      <c r="B572" s="87"/>
      <c r="P572" s="87"/>
    </row>
    <row r="573">
      <c r="A573" s="87"/>
      <c r="B573" s="87"/>
      <c r="P573" s="87"/>
    </row>
    <row r="574">
      <c r="A574" s="87"/>
      <c r="B574" s="87"/>
      <c r="P574" s="87"/>
    </row>
    <row r="575">
      <c r="A575" s="87"/>
      <c r="B575" s="87"/>
      <c r="P575" s="87"/>
    </row>
    <row r="576">
      <c r="A576" s="87"/>
      <c r="B576" s="87"/>
      <c r="P576" s="87"/>
    </row>
    <row r="577">
      <c r="A577" s="87"/>
      <c r="B577" s="87"/>
      <c r="P577" s="87"/>
    </row>
    <row r="578">
      <c r="A578" s="87"/>
      <c r="B578" s="87"/>
      <c r="P578" s="87"/>
    </row>
    <row r="579">
      <c r="A579" s="87"/>
      <c r="B579" s="87"/>
      <c r="P579" s="87"/>
    </row>
    <row r="580">
      <c r="A580" s="87"/>
      <c r="B580" s="87"/>
      <c r="P580" s="87"/>
    </row>
    <row r="581">
      <c r="A581" s="87"/>
      <c r="B581" s="87"/>
      <c r="P581" s="87"/>
    </row>
    <row r="582">
      <c r="A582" s="87"/>
      <c r="B582" s="87"/>
      <c r="P582" s="87"/>
    </row>
    <row r="583">
      <c r="A583" s="87"/>
      <c r="B583" s="87"/>
      <c r="P583" s="87"/>
    </row>
    <row r="584">
      <c r="A584" s="87"/>
      <c r="B584" s="87"/>
      <c r="P584" s="87"/>
    </row>
    <row r="585">
      <c r="A585" s="87"/>
      <c r="B585" s="87"/>
      <c r="P585" s="87"/>
    </row>
    <row r="586">
      <c r="A586" s="87"/>
      <c r="B586" s="87"/>
      <c r="P586" s="87"/>
    </row>
    <row r="587">
      <c r="A587" s="87"/>
      <c r="B587" s="87"/>
      <c r="P587" s="87"/>
    </row>
    <row r="588">
      <c r="A588" s="87"/>
      <c r="B588" s="87"/>
      <c r="P588" s="87"/>
    </row>
    <row r="589">
      <c r="A589" s="87"/>
      <c r="B589" s="87"/>
      <c r="P589" s="87"/>
    </row>
    <row r="590">
      <c r="A590" s="87"/>
      <c r="B590" s="87"/>
      <c r="P590" s="87"/>
    </row>
    <row r="591">
      <c r="A591" s="87"/>
      <c r="B591" s="87"/>
      <c r="P591" s="87"/>
    </row>
    <row r="592">
      <c r="A592" s="87"/>
      <c r="B592" s="87"/>
      <c r="P592" s="87"/>
    </row>
    <row r="593">
      <c r="A593" s="87"/>
      <c r="B593" s="87"/>
      <c r="P593" s="87"/>
    </row>
    <row r="594">
      <c r="A594" s="87"/>
      <c r="B594" s="87"/>
      <c r="P594" s="87"/>
    </row>
    <row r="595">
      <c r="A595" s="87"/>
      <c r="B595" s="87"/>
      <c r="P595" s="87"/>
    </row>
    <row r="596">
      <c r="A596" s="87"/>
      <c r="B596" s="87"/>
      <c r="P596" s="87"/>
    </row>
    <row r="597">
      <c r="A597" s="87"/>
      <c r="B597" s="87"/>
      <c r="P597" s="87"/>
    </row>
    <row r="598">
      <c r="A598" s="87"/>
      <c r="B598" s="87"/>
      <c r="P598" s="87"/>
    </row>
    <row r="599">
      <c r="A599" s="87"/>
      <c r="B599" s="87"/>
      <c r="P599" s="87"/>
    </row>
    <row r="600">
      <c r="A600" s="87"/>
      <c r="B600" s="87"/>
      <c r="P600" s="87"/>
    </row>
    <row r="601">
      <c r="A601" s="87"/>
      <c r="B601" s="87"/>
      <c r="P601" s="87"/>
    </row>
    <row r="602">
      <c r="A602" s="87"/>
      <c r="B602" s="87"/>
      <c r="P602" s="87"/>
    </row>
    <row r="603">
      <c r="A603" s="87"/>
      <c r="B603" s="87"/>
      <c r="P603" s="87"/>
    </row>
    <row r="604">
      <c r="A604" s="87"/>
      <c r="B604" s="87"/>
      <c r="P604" s="87"/>
    </row>
    <row r="605">
      <c r="A605" s="87"/>
      <c r="B605" s="87"/>
      <c r="P605" s="87"/>
    </row>
    <row r="606">
      <c r="A606" s="87"/>
      <c r="B606" s="87"/>
      <c r="P606" s="87"/>
    </row>
    <row r="607">
      <c r="A607" s="87"/>
      <c r="B607" s="87"/>
      <c r="P607" s="87"/>
    </row>
    <row r="608">
      <c r="A608" s="87"/>
      <c r="B608" s="87"/>
      <c r="P608" s="87"/>
    </row>
    <row r="609">
      <c r="A609" s="87"/>
      <c r="B609" s="87"/>
      <c r="P609" s="87"/>
    </row>
    <row r="610">
      <c r="A610" s="87"/>
      <c r="B610" s="87"/>
      <c r="P610" s="87"/>
    </row>
    <row r="611">
      <c r="A611" s="87"/>
      <c r="B611" s="87"/>
      <c r="P611" s="87"/>
    </row>
    <row r="612">
      <c r="A612" s="87"/>
      <c r="B612" s="87"/>
      <c r="P612" s="87"/>
    </row>
    <row r="613">
      <c r="A613" s="87"/>
      <c r="B613" s="87"/>
      <c r="P613" s="87"/>
    </row>
    <row r="614">
      <c r="A614" s="87"/>
      <c r="B614" s="87"/>
      <c r="P614" s="87"/>
    </row>
    <row r="615">
      <c r="A615" s="87"/>
      <c r="B615" s="87"/>
      <c r="P615" s="87"/>
    </row>
    <row r="616">
      <c r="A616" s="87"/>
      <c r="B616" s="87"/>
      <c r="P616" s="87"/>
    </row>
    <row r="617">
      <c r="A617" s="87"/>
      <c r="B617" s="87"/>
      <c r="P617" s="87"/>
    </row>
    <row r="618">
      <c r="A618" s="87"/>
      <c r="B618" s="87"/>
      <c r="P618" s="87"/>
    </row>
    <row r="619">
      <c r="A619" s="87"/>
      <c r="B619" s="87"/>
      <c r="P619" s="87"/>
    </row>
    <row r="620">
      <c r="A620" s="87"/>
      <c r="B620" s="87"/>
      <c r="P620" s="87"/>
    </row>
    <row r="621">
      <c r="A621" s="87"/>
      <c r="B621" s="87"/>
      <c r="P621" s="87"/>
    </row>
    <row r="622">
      <c r="A622" s="87"/>
      <c r="B622" s="87"/>
      <c r="P622" s="87"/>
    </row>
    <row r="623">
      <c r="A623" s="87"/>
      <c r="B623" s="87"/>
      <c r="P623" s="87"/>
    </row>
    <row r="624">
      <c r="A624" s="87"/>
      <c r="B624" s="87"/>
      <c r="P624" s="87"/>
    </row>
    <row r="625">
      <c r="A625" s="87"/>
      <c r="B625" s="87"/>
      <c r="P625" s="87"/>
    </row>
    <row r="626">
      <c r="A626" s="87"/>
      <c r="B626" s="87"/>
      <c r="P626" s="87"/>
    </row>
    <row r="627">
      <c r="A627" s="87"/>
      <c r="B627" s="87"/>
      <c r="P627" s="87"/>
    </row>
    <row r="628">
      <c r="A628" s="87"/>
      <c r="B628" s="87"/>
      <c r="P628" s="87"/>
    </row>
    <row r="629">
      <c r="A629" s="87"/>
      <c r="B629" s="87"/>
      <c r="P629" s="87"/>
    </row>
    <row r="630">
      <c r="A630" s="87"/>
      <c r="B630" s="87"/>
      <c r="P630" s="87"/>
    </row>
    <row r="631">
      <c r="A631" s="87"/>
      <c r="B631" s="87"/>
      <c r="P631" s="87"/>
    </row>
    <row r="632">
      <c r="A632" s="87"/>
      <c r="B632" s="87"/>
      <c r="P632" s="87"/>
    </row>
    <row r="633">
      <c r="A633" s="87"/>
      <c r="B633" s="87"/>
      <c r="P633" s="87"/>
    </row>
    <row r="634">
      <c r="A634" s="87"/>
      <c r="B634" s="87"/>
      <c r="P634" s="87"/>
    </row>
    <row r="635">
      <c r="A635" s="87"/>
      <c r="B635" s="87"/>
      <c r="P635" s="87"/>
    </row>
    <row r="636">
      <c r="A636" s="87"/>
      <c r="B636" s="87"/>
      <c r="P636" s="87"/>
    </row>
    <row r="637">
      <c r="A637" s="87"/>
      <c r="B637" s="87"/>
      <c r="P637" s="87"/>
    </row>
    <row r="638">
      <c r="A638" s="87"/>
      <c r="B638" s="87"/>
      <c r="P638" s="87"/>
    </row>
    <row r="639">
      <c r="A639" s="87"/>
      <c r="B639" s="87"/>
      <c r="P639" s="87"/>
    </row>
    <row r="640">
      <c r="A640" s="87"/>
      <c r="B640" s="87"/>
      <c r="P640" s="87"/>
    </row>
    <row r="641">
      <c r="A641" s="87"/>
      <c r="B641" s="87"/>
      <c r="P641" s="87"/>
    </row>
    <row r="642">
      <c r="A642" s="87"/>
      <c r="B642" s="87"/>
      <c r="P642" s="87"/>
    </row>
    <row r="643">
      <c r="A643" s="87"/>
      <c r="B643" s="87"/>
      <c r="P643" s="87"/>
    </row>
    <row r="644">
      <c r="A644" s="87"/>
      <c r="B644" s="87"/>
      <c r="P644" s="87"/>
    </row>
    <row r="645">
      <c r="A645" s="87"/>
      <c r="B645" s="87"/>
      <c r="P645" s="87"/>
    </row>
    <row r="646">
      <c r="A646" s="87"/>
      <c r="B646" s="87"/>
      <c r="P646" s="87"/>
    </row>
    <row r="647">
      <c r="A647" s="87"/>
      <c r="B647" s="87"/>
      <c r="P647" s="87"/>
    </row>
    <row r="648">
      <c r="A648" s="87"/>
      <c r="B648" s="87"/>
      <c r="P648" s="87"/>
    </row>
    <row r="649">
      <c r="A649" s="87"/>
      <c r="B649" s="87"/>
      <c r="P649" s="87"/>
    </row>
    <row r="650">
      <c r="A650" s="87"/>
      <c r="B650" s="87"/>
      <c r="P650" s="87"/>
    </row>
    <row r="651">
      <c r="A651" s="87"/>
      <c r="B651" s="87"/>
      <c r="P651" s="87"/>
    </row>
    <row r="652">
      <c r="A652" s="87"/>
      <c r="B652" s="87"/>
      <c r="P652" s="87"/>
    </row>
    <row r="653">
      <c r="A653" s="87"/>
      <c r="B653" s="87"/>
      <c r="P653" s="87"/>
    </row>
    <row r="654">
      <c r="A654" s="87"/>
      <c r="B654" s="87"/>
      <c r="P654" s="87"/>
    </row>
    <row r="655">
      <c r="A655" s="87"/>
      <c r="B655" s="87"/>
      <c r="P655" s="87"/>
    </row>
    <row r="656">
      <c r="A656" s="87"/>
      <c r="B656" s="87"/>
      <c r="P656" s="87"/>
    </row>
    <row r="657">
      <c r="A657" s="87"/>
      <c r="B657" s="87"/>
      <c r="P657" s="87"/>
    </row>
    <row r="658">
      <c r="A658" s="87"/>
      <c r="B658" s="87"/>
      <c r="P658" s="87"/>
    </row>
    <row r="659">
      <c r="A659" s="87"/>
      <c r="B659" s="87"/>
      <c r="P659" s="87"/>
    </row>
    <row r="660">
      <c r="A660" s="87"/>
      <c r="B660" s="87"/>
      <c r="P660" s="87"/>
    </row>
    <row r="661">
      <c r="A661" s="87"/>
      <c r="B661" s="87"/>
      <c r="P661" s="87"/>
    </row>
    <row r="662">
      <c r="A662" s="87"/>
      <c r="B662" s="87"/>
      <c r="P662" s="87"/>
    </row>
    <row r="663">
      <c r="A663" s="87"/>
      <c r="B663" s="87"/>
      <c r="P663" s="87"/>
    </row>
    <row r="664">
      <c r="A664" s="87"/>
      <c r="B664" s="87"/>
      <c r="P664" s="87"/>
    </row>
    <row r="665">
      <c r="A665" s="87"/>
      <c r="B665" s="87"/>
      <c r="P665" s="87"/>
    </row>
    <row r="666">
      <c r="A666" s="87"/>
      <c r="B666" s="87"/>
      <c r="P666" s="87"/>
    </row>
    <row r="667">
      <c r="A667" s="87"/>
      <c r="B667" s="87"/>
      <c r="P667" s="87"/>
    </row>
    <row r="668">
      <c r="A668" s="87"/>
      <c r="B668" s="87"/>
      <c r="P668" s="87"/>
    </row>
    <row r="669">
      <c r="A669" s="87"/>
      <c r="B669" s="87"/>
      <c r="P669" s="87"/>
    </row>
    <row r="670">
      <c r="A670" s="87"/>
      <c r="B670" s="87"/>
      <c r="P670" s="87"/>
    </row>
    <row r="671">
      <c r="A671" s="87"/>
      <c r="B671" s="87"/>
      <c r="P671" s="87"/>
    </row>
    <row r="672">
      <c r="A672" s="87"/>
      <c r="B672" s="87"/>
      <c r="P672" s="87"/>
    </row>
    <row r="673">
      <c r="A673" s="87"/>
      <c r="B673" s="87"/>
      <c r="P673" s="87"/>
    </row>
    <row r="674">
      <c r="A674" s="87"/>
      <c r="B674" s="87"/>
      <c r="P674" s="87"/>
    </row>
    <row r="675">
      <c r="A675" s="87"/>
      <c r="B675" s="87"/>
      <c r="P675" s="87"/>
    </row>
    <row r="676">
      <c r="A676" s="87"/>
      <c r="B676" s="87"/>
      <c r="P676" s="87"/>
    </row>
    <row r="677">
      <c r="A677" s="87"/>
      <c r="B677" s="87"/>
      <c r="P677" s="87"/>
    </row>
    <row r="678">
      <c r="A678" s="87"/>
      <c r="B678" s="87"/>
      <c r="P678" s="87"/>
    </row>
    <row r="679">
      <c r="A679" s="87"/>
      <c r="B679" s="87"/>
      <c r="P679" s="87"/>
    </row>
    <row r="680">
      <c r="A680" s="87"/>
      <c r="B680" s="87"/>
      <c r="P680" s="87"/>
    </row>
    <row r="681">
      <c r="A681" s="87"/>
      <c r="B681" s="87"/>
      <c r="P681" s="87"/>
    </row>
    <row r="682">
      <c r="A682" s="87"/>
      <c r="B682" s="87"/>
      <c r="P682" s="87"/>
    </row>
    <row r="683">
      <c r="A683" s="87"/>
      <c r="B683" s="87"/>
      <c r="P683" s="87"/>
    </row>
    <row r="684">
      <c r="A684" s="87"/>
      <c r="B684" s="87"/>
      <c r="P684" s="87"/>
    </row>
    <row r="685">
      <c r="A685" s="87"/>
      <c r="B685" s="87"/>
      <c r="P685" s="87"/>
    </row>
    <row r="686">
      <c r="A686" s="87"/>
      <c r="B686" s="87"/>
      <c r="P686" s="87"/>
    </row>
    <row r="687">
      <c r="A687" s="87"/>
      <c r="B687" s="87"/>
      <c r="P687" s="87"/>
    </row>
    <row r="688">
      <c r="A688" s="87"/>
      <c r="B688" s="87"/>
      <c r="P688" s="87"/>
    </row>
    <row r="689">
      <c r="A689" s="87"/>
      <c r="B689" s="87"/>
      <c r="P689" s="87"/>
    </row>
    <row r="690">
      <c r="A690" s="87"/>
      <c r="B690" s="87"/>
      <c r="P690" s="87"/>
    </row>
    <row r="691">
      <c r="A691" s="87"/>
      <c r="B691" s="87"/>
      <c r="P691" s="87"/>
    </row>
    <row r="692">
      <c r="A692" s="87"/>
      <c r="B692" s="87"/>
      <c r="P692" s="87"/>
    </row>
    <row r="693">
      <c r="A693" s="87"/>
      <c r="B693" s="87"/>
      <c r="P693" s="87"/>
    </row>
    <row r="694">
      <c r="A694" s="87"/>
      <c r="B694" s="87"/>
      <c r="P694" s="87"/>
    </row>
    <row r="695">
      <c r="A695" s="87"/>
      <c r="B695" s="87"/>
      <c r="P695" s="87"/>
    </row>
    <row r="696">
      <c r="A696" s="87"/>
      <c r="B696" s="87"/>
      <c r="P696" s="87"/>
    </row>
    <row r="697">
      <c r="A697" s="87"/>
      <c r="B697" s="87"/>
      <c r="P697" s="87"/>
    </row>
    <row r="698">
      <c r="A698" s="87"/>
      <c r="B698" s="87"/>
      <c r="P698" s="87"/>
    </row>
    <row r="699">
      <c r="A699" s="87"/>
      <c r="B699" s="87"/>
      <c r="P699" s="87"/>
    </row>
    <row r="700">
      <c r="A700" s="87"/>
      <c r="B700" s="87"/>
      <c r="P700" s="87"/>
    </row>
    <row r="701">
      <c r="A701" s="87"/>
      <c r="B701" s="87"/>
      <c r="P701" s="87"/>
    </row>
    <row r="702">
      <c r="A702" s="87"/>
      <c r="B702" s="87"/>
      <c r="P702" s="87"/>
    </row>
    <row r="703">
      <c r="A703" s="87"/>
      <c r="B703" s="87"/>
      <c r="P703" s="87"/>
    </row>
    <row r="704">
      <c r="A704" s="87"/>
      <c r="B704" s="87"/>
      <c r="P704" s="87"/>
    </row>
    <row r="705">
      <c r="A705" s="87"/>
      <c r="B705" s="87"/>
      <c r="P705" s="87"/>
    </row>
    <row r="706">
      <c r="A706" s="87"/>
      <c r="B706" s="87"/>
      <c r="P706" s="87"/>
    </row>
    <row r="707">
      <c r="A707" s="87"/>
      <c r="B707" s="87"/>
      <c r="P707" s="87"/>
    </row>
    <row r="708">
      <c r="A708" s="87"/>
      <c r="B708" s="87"/>
      <c r="P708" s="87"/>
    </row>
    <row r="709">
      <c r="A709" s="87"/>
      <c r="B709" s="87"/>
      <c r="P709" s="87"/>
    </row>
    <row r="710">
      <c r="A710" s="87"/>
      <c r="B710" s="87"/>
      <c r="P710" s="87"/>
    </row>
    <row r="711">
      <c r="A711" s="87"/>
      <c r="B711" s="87"/>
      <c r="P711" s="87"/>
    </row>
    <row r="712">
      <c r="A712" s="87"/>
      <c r="B712" s="87"/>
      <c r="P712" s="87"/>
    </row>
    <row r="713">
      <c r="A713" s="87"/>
      <c r="B713" s="87"/>
      <c r="P713" s="87"/>
    </row>
    <row r="714">
      <c r="A714" s="87"/>
      <c r="B714" s="87"/>
      <c r="P714" s="87"/>
    </row>
    <row r="715">
      <c r="A715" s="87"/>
      <c r="B715" s="87"/>
      <c r="P715" s="87"/>
    </row>
    <row r="716">
      <c r="A716" s="87"/>
      <c r="B716" s="87"/>
      <c r="P716" s="87"/>
    </row>
    <row r="717">
      <c r="A717" s="87"/>
      <c r="B717" s="87"/>
      <c r="P717" s="87"/>
    </row>
    <row r="718">
      <c r="A718" s="87"/>
      <c r="B718" s="87"/>
      <c r="P718" s="87"/>
    </row>
    <row r="719">
      <c r="A719" s="87"/>
      <c r="B719" s="87"/>
      <c r="P719" s="87"/>
    </row>
    <row r="720">
      <c r="A720" s="87"/>
      <c r="B720" s="87"/>
      <c r="P720" s="87"/>
    </row>
    <row r="721">
      <c r="A721" s="87"/>
      <c r="B721" s="87"/>
      <c r="P721" s="87"/>
    </row>
    <row r="722">
      <c r="A722" s="87"/>
      <c r="B722" s="87"/>
      <c r="P722" s="87"/>
    </row>
    <row r="723">
      <c r="A723" s="87"/>
      <c r="B723" s="87"/>
      <c r="P723" s="87"/>
    </row>
    <row r="724">
      <c r="A724" s="87"/>
      <c r="B724" s="87"/>
      <c r="P724" s="87"/>
    </row>
    <row r="725">
      <c r="A725" s="87"/>
      <c r="B725" s="87"/>
      <c r="P725" s="87"/>
    </row>
    <row r="726">
      <c r="A726" s="87"/>
      <c r="B726" s="87"/>
      <c r="P726" s="87"/>
    </row>
    <row r="727">
      <c r="A727" s="87"/>
      <c r="B727" s="87"/>
      <c r="P727" s="87"/>
    </row>
    <row r="728">
      <c r="A728" s="87"/>
      <c r="B728" s="87"/>
      <c r="P728" s="87"/>
    </row>
    <row r="729">
      <c r="A729" s="87"/>
      <c r="B729" s="87"/>
      <c r="P729" s="87"/>
    </row>
    <row r="730">
      <c r="A730" s="87"/>
      <c r="B730" s="87"/>
      <c r="P730" s="87"/>
    </row>
    <row r="731">
      <c r="A731" s="87"/>
      <c r="B731" s="87"/>
      <c r="P731" s="87"/>
    </row>
    <row r="732">
      <c r="A732" s="87"/>
      <c r="B732" s="87"/>
      <c r="P732" s="87"/>
    </row>
    <row r="733">
      <c r="A733" s="87"/>
      <c r="B733" s="87"/>
      <c r="P733" s="87"/>
    </row>
    <row r="734">
      <c r="A734" s="87"/>
      <c r="B734" s="87"/>
      <c r="P734" s="87"/>
    </row>
    <row r="735">
      <c r="A735" s="87"/>
      <c r="B735" s="87"/>
      <c r="P735" s="87"/>
    </row>
    <row r="736">
      <c r="A736" s="87"/>
      <c r="B736" s="87"/>
      <c r="P736" s="87"/>
    </row>
    <row r="737">
      <c r="A737" s="87"/>
      <c r="B737" s="87"/>
      <c r="P737" s="87"/>
    </row>
    <row r="738">
      <c r="A738" s="87"/>
      <c r="B738" s="87"/>
      <c r="P738" s="87"/>
    </row>
    <row r="739">
      <c r="A739" s="87"/>
      <c r="B739" s="87"/>
      <c r="P739" s="87"/>
    </row>
    <row r="740">
      <c r="A740" s="87"/>
      <c r="B740" s="87"/>
      <c r="P740" s="87"/>
    </row>
    <row r="741">
      <c r="A741" s="87"/>
      <c r="B741" s="87"/>
      <c r="P741" s="87"/>
    </row>
    <row r="742">
      <c r="A742" s="87"/>
      <c r="B742" s="87"/>
      <c r="P742" s="87"/>
    </row>
    <row r="743">
      <c r="A743" s="87"/>
      <c r="B743" s="87"/>
      <c r="P743" s="87"/>
    </row>
    <row r="744">
      <c r="A744" s="87"/>
      <c r="B744" s="87"/>
      <c r="P744" s="87"/>
    </row>
    <row r="745">
      <c r="A745" s="87"/>
      <c r="B745" s="87"/>
      <c r="P745" s="87"/>
    </row>
    <row r="746">
      <c r="A746" s="87"/>
      <c r="B746" s="87"/>
      <c r="P746" s="87"/>
    </row>
    <row r="747">
      <c r="A747" s="87"/>
      <c r="B747" s="87"/>
      <c r="P747" s="87"/>
    </row>
    <row r="748">
      <c r="A748" s="87"/>
      <c r="B748" s="87"/>
      <c r="P748" s="87"/>
    </row>
    <row r="749">
      <c r="A749" s="87"/>
      <c r="B749" s="87"/>
      <c r="P749" s="87"/>
    </row>
    <row r="750">
      <c r="A750" s="87"/>
      <c r="B750" s="87"/>
      <c r="P750" s="87"/>
    </row>
    <row r="751">
      <c r="A751" s="87"/>
      <c r="B751" s="87"/>
      <c r="P751" s="87"/>
    </row>
    <row r="752">
      <c r="A752" s="87"/>
      <c r="B752" s="87"/>
      <c r="P752" s="87"/>
    </row>
    <row r="753">
      <c r="A753" s="87"/>
      <c r="B753" s="87"/>
      <c r="P753" s="87"/>
    </row>
    <row r="754">
      <c r="A754" s="87"/>
      <c r="B754" s="87"/>
      <c r="P754" s="87"/>
    </row>
    <row r="755">
      <c r="A755" s="87"/>
      <c r="B755" s="87"/>
      <c r="P755" s="87"/>
    </row>
    <row r="756">
      <c r="A756" s="87"/>
      <c r="B756" s="87"/>
      <c r="P756" s="87"/>
    </row>
    <row r="757">
      <c r="A757" s="87"/>
      <c r="B757" s="87"/>
      <c r="P757" s="87"/>
    </row>
    <row r="758">
      <c r="A758" s="87"/>
      <c r="B758" s="87"/>
      <c r="P758" s="87"/>
    </row>
    <row r="759">
      <c r="A759" s="87"/>
      <c r="B759" s="87"/>
      <c r="P759" s="87"/>
    </row>
    <row r="760">
      <c r="A760" s="87"/>
      <c r="B760" s="87"/>
      <c r="P760" s="87"/>
    </row>
    <row r="761">
      <c r="A761" s="87"/>
      <c r="B761" s="87"/>
      <c r="P761" s="87"/>
    </row>
    <row r="762">
      <c r="A762" s="87"/>
      <c r="B762" s="87"/>
      <c r="P762" s="87"/>
    </row>
    <row r="763">
      <c r="A763" s="87"/>
      <c r="B763" s="87"/>
      <c r="P763" s="87"/>
    </row>
    <row r="764">
      <c r="A764" s="87"/>
      <c r="B764" s="87"/>
      <c r="P764" s="87"/>
    </row>
    <row r="765">
      <c r="A765" s="87"/>
      <c r="B765" s="87"/>
      <c r="P765" s="87"/>
    </row>
    <row r="766">
      <c r="A766" s="87"/>
      <c r="B766" s="87"/>
      <c r="P766" s="87"/>
    </row>
    <row r="767">
      <c r="A767" s="87"/>
      <c r="B767" s="87"/>
      <c r="P767" s="87"/>
    </row>
    <row r="768">
      <c r="A768" s="87"/>
      <c r="B768" s="87"/>
      <c r="P768" s="87"/>
    </row>
    <row r="769">
      <c r="A769" s="87"/>
      <c r="B769" s="87"/>
      <c r="P769" s="87"/>
    </row>
    <row r="770">
      <c r="A770" s="87"/>
      <c r="B770" s="87"/>
      <c r="P770" s="87"/>
    </row>
    <row r="771">
      <c r="A771" s="87"/>
      <c r="B771" s="87"/>
      <c r="P771" s="87"/>
    </row>
    <row r="772">
      <c r="A772" s="87"/>
      <c r="B772" s="87"/>
      <c r="P772" s="87"/>
    </row>
    <row r="773">
      <c r="A773" s="87"/>
      <c r="B773" s="87"/>
      <c r="P773" s="87"/>
    </row>
    <row r="774">
      <c r="A774" s="87"/>
      <c r="B774" s="87"/>
      <c r="P774" s="87"/>
    </row>
    <row r="775">
      <c r="A775" s="87"/>
      <c r="B775" s="87"/>
      <c r="P775" s="87"/>
    </row>
    <row r="776">
      <c r="A776" s="87"/>
      <c r="B776" s="87"/>
      <c r="P776" s="87"/>
    </row>
    <row r="777">
      <c r="A777" s="87"/>
      <c r="B777" s="87"/>
      <c r="P777" s="87"/>
    </row>
    <row r="778">
      <c r="A778" s="87"/>
      <c r="B778" s="87"/>
      <c r="P778" s="87"/>
    </row>
    <row r="779">
      <c r="A779" s="87"/>
      <c r="B779" s="87"/>
      <c r="P779" s="87"/>
    </row>
    <row r="780">
      <c r="A780" s="87"/>
      <c r="B780" s="87"/>
      <c r="P780" s="87"/>
    </row>
    <row r="781">
      <c r="A781" s="87"/>
      <c r="B781" s="87"/>
      <c r="P781" s="87"/>
    </row>
    <row r="782">
      <c r="A782" s="87"/>
      <c r="B782" s="87"/>
      <c r="P782" s="87"/>
    </row>
    <row r="783">
      <c r="A783" s="87"/>
      <c r="B783" s="87"/>
      <c r="P783" s="87"/>
    </row>
    <row r="784">
      <c r="A784" s="87"/>
      <c r="B784" s="87"/>
      <c r="P784" s="87"/>
    </row>
    <row r="785">
      <c r="A785" s="87"/>
      <c r="B785" s="87"/>
      <c r="P785" s="87"/>
    </row>
    <row r="786">
      <c r="A786" s="87"/>
      <c r="B786" s="87"/>
      <c r="P786" s="87"/>
    </row>
    <row r="787">
      <c r="A787" s="87"/>
      <c r="B787" s="87"/>
      <c r="P787" s="87"/>
    </row>
    <row r="788">
      <c r="A788" s="87"/>
      <c r="B788" s="87"/>
      <c r="P788" s="87"/>
    </row>
    <row r="789">
      <c r="A789" s="87"/>
      <c r="B789" s="87"/>
      <c r="P789" s="87"/>
    </row>
    <row r="790">
      <c r="A790" s="87"/>
      <c r="B790" s="87"/>
      <c r="P790" s="87"/>
    </row>
    <row r="791">
      <c r="A791" s="87"/>
      <c r="B791" s="87"/>
      <c r="P791" s="87"/>
    </row>
    <row r="792">
      <c r="A792" s="87"/>
      <c r="B792" s="87"/>
      <c r="P792" s="87"/>
    </row>
    <row r="793">
      <c r="A793" s="87"/>
      <c r="B793" s="87"/>
      <c r="P793" s="87"/>
    </row>
    <row r="794">
      <c r="A794" s="87"/>
      <c r="B794" s="87"/>
      <c r="P794" s="87"/>
    </row>
    <row r="795">
      <c r="A795" s="87"/>
      <c r="B795" s="87"/>
      <c r="P795" s="87"/>
    </row>
    <row r="796">
      <c r="A796" s="87"/>
      <c r="B796" s="87"/>
      <c r="P796" s="87"/>
    </row>
    <row r="797">
      <c r="A797" s="87"/>
      <c r="B797" s="87"/>
      <c r="P797" s="87"/>
    </row>
    <row r="798">
      <c r="A798" s="87"/>
      <c r="B798" s="87"/>
      <c r="P798" s="87"/>
    </row>
    <row r="799">
      <c r="A799" s="87"/>
      <c r="B799" s="87"/>
      <c r="P799" s="87"/>
    </row>
    <row r="800">
      <c r="A800" s="87"/>
      <c r="B800" s="87"/>
      <c r="P800" s="87"/>
    </row>
    <row r="801">
      <c r="A801" s="87"/>
      <c r="B801" s="87"/>
      <c r="P801" s="87"/>
    </row>
    <row r="802">
      <c r="A802" s="87"/>
      <c r="B802" s="87"/>
      <c r="P802" s="87"/>
    </row>
    <row r="803">
      <c r="A803" s="87"/>
      <c r="B803" s="87"/>
      <c r="P803" s="87"/>
    </row>
    <row r="804">
      <c r="A804" s="87"/>
      <c r="B804" s="87"/>
      <c r="P804" s="87"/>
    </row>
    <row r="805">
      <c r="A805" s="87"/>
      <c r="B805" s="87"/>
      <c r="P805" s="87"/>
    </row>
    <row r="806">
      <c r="A806" s="87"/>
      <c r="B806" s="87"/>
      <c r="P806" s="87"/>
    </row>
    <row r="807">
      <c r="A807" s="87"/>
      <c r="B807" s="87"/>
      <c r="P807" s="87"/>
    </row>
    <row r="808">
      <c r="A808" s="87"/>
      <c r="B808" s="87"/>
      <c r="P808" s="87"/>
    </row>
    <row r="809">
      <c r="A809" s="87"/>
      <c r="B809" s="87"/>
      <c r="P809" s="87"/>
    </row>
    <row r="810">
      <c r="A810" s="87"/>
      <c r="B810" s="87"/>
      <c r="P810" s="87"/>
    </row>
    <row r="811">
      <c r="A811" s="87"/>
      <c r="B811" s="87"/>
      <c r="P811" s="87"/>
    </row>
    <row r="812">
      <c r="A812" s="87"/>
      <c r="B812" s="87"/>
      <c r="P812" s="87"/>
    </row>
    <row r="813">
      <c r="A813" s="87"/>
      <c r="B813" s="87"/>
      <c r="P813" s="87"/>
    </row>
    <row r="814">
      <c r="A814" s="87"/>
      <c r="B814" s="87"/>
      <c r="P814" s="87"/>
    </row>
    <row r="815">
      <c r="A815" s="87"/>
      <c r="B815" s="87"/>
      <c r="P815" s="87"/>
    </row>
    <row r="816">
      <c r="A816" s="87"/>
      <c r="B816" s="87"/>
      <c r="P816" s="87"/>
    </row>
    <row r="817">
      <c r="A817" s="87"/>
      <c r="B817" s="87"/>
      <c r="P817" s="87"/>
    </row>
    <row r="818">
      <c r="A818" s="87"/>
      <c r="B818" s="87"/>
      <c r="P818" s="87"/>
    </row>
    <row r="819">
      <c r="A819" s="87"/>
      <c r="B819" s="87"/>
      <c r="P819" s="87"/>
    </row>
    <row r="820">
      <c r="A820" s="87"/>
      <c r="B820" s="87"/>
      <c r="P820" s="87"/>
    </row>
    <row r="821">
      <c r="A821" s="87"/>
      <c r="B821" s="87"/>
      <c r="P821" s="87"/>
    </row>
    <row r="822">
      <c r="A822" s="87"/>
      <c r="B822" s="87"/>
      <c r="P822" s="87"/>
    </row>
    <row r="823">
      <c r="A823" s="87"/>
      <c r="B823" s="87"/>
      <c r="P823" s="87"/>
    </row>
    <row r="824">
      <c r="A824" s="87"/>
      <c r="B824" s="87"/>
      <c r="P824" s="87"/>
    </row>
    <row r="825">
      <c r="A825" s="87"/>
      <c r="B825" s="87"/>
      <c r="P825" s="87"/>
    </row>
    <row r="826">
      <c r="A826" s="87"/>
      <c r="B826" s="87"/>
      <c r="P826" s="87"/>
    </row>
    <row r="827">
      <c r="A827" s="87"/>
      <c r="B827" s="87"/>
      <c r="P827" s="87"/>
    </row>
    <row r="828">
      <c r="A828" s="87"/>
      <c r="B828" s="87"/>
      <c r="P828" s="87"/>
    </row>
    <row r="829">
      <c r="A829" s="87"/>
      <c r="B829" s="87"/>
      <c r="P829" s="87"/>
    </row>
    <row r="830">
      <c r="A830" s="87"/>
      <c r="B830" s="87"/>
      <c r="P830" s="87"/>
    </row>
    <row r="831">
      <c r="A831" s="87"/>
      <c r="B831" s="87"/>
      <c r="P831" s="87"/>
    </row>
    <row r="832">
      <c r="A832" s="87"/>
      <c r="B832" s="87"/>
      <c r="P832" s="87"/>
    </row>
    <row r="833">
      <c r="A833" s="87"/>
      <c r="B833" s="87"/>
      <c r="P833" s="87"/>
    </row>
    <row r="834">
      <c r="A834" s="87"/>
      <c r="B834" s="87"/>
      <c r="P834" s="87"/>
    </row>
    <row r="835">
      <c r="A835" s="87"/>
      <c r="B835" s="87"/>
      <c r="P835" s="87"/>
    </row>
    <row r="836">
      <c r="A836" s="87"/>
      <c r="B836" s="87"/>
      <c r="P836" s="87"/>
    </row>
    <row r="837">
      <c r="A837" s="87"/>
      <c r="B837" s="87"/>
      <c r="P837" s="87"/>
    </row>
    <row r="838">
      <c r="A838" s="87"/>
      <c r="B838" s="87"/>
      <c r="P838" s="87"/>
    </row>
    <row r="839">
      <c r="A839" s="87"/>
      <c r="B839" s="87"/>
      <c r="P839" s="87"/>
    </row>
    <row r="840">
      <c r="A840" s="87"/>
      <c r="B840" s="87"/>
      <c r="P840" s="87"/>
    </row>
    <row r="841">
      <c r="A841" s="87"/>
      <c r="B841" s="87"/>
      <c r="P841" s="87"/>
    </row>
    <row r="842">
      <c r="A842" s="87"/>
      <c r="B842" s="87"/>
      <c r="P842" s="87"/>
    </row>
    <row r="843">
      <c r="A843" s="87"/>
      <c r="B843" s="87"/>
      <c r="P843" s="87"/>
    </row>
    <row r="844">
      <c r="A844" s="87"/>
      <c r="B844" s="87"/>
      <c r="P844" s="87"/>
    </row>
    <row r="845">
      <c r="A845" s="87"/>
      <c r="B845" s="87"/>
      <c r="P845" s="87"/>
    </row>
    <row r="846">
      <c r="A846" s="87"/>
      <c r="B846" s="87"/>
      <c r="P846" s="87"/>
    </row>
    <row r="847">
      <c r="A847" s="87"/>
      <c r="B847" s="87"/>
      <c r="P847" s="87"/>
    </row>
    <row r="848">
      <c r="A848" s="87"/>
      <c r="B848" s="87"/>
      <c r="P848" s="87"/>
    </row>
    <row r="849">
      <c r="A849" s="87"/>
      <c r="B849" s="87"/>
      <c r="P849" s="87"/>
    </row>
    <row r="850">
      <c r="A850" s="87"/>
      <c r="B850" s="87"/>
      <c r="P850" s="87"/>
    </row>
    <row r="851">
      <c r="A851" s="87"/>
      <c r="B851" s="87"/>
      <c r="P851" s="87"/>
    </row>
    <row r="852">
      <c r="A852" s="87"/>
      <c r="B852" s="87"/>
      <c r="P852" s="87"/>
    </row>
    <row r="853">
      <c r="A853" s="87"/>
      <c r="B853" s="87"/>
      <c r="P853" s="87"/>
    </row>
    <row r="854">
      <c r="A854" s="87"/>
      <c r="B854" s="87"/>
      <c r="P854" s="87"/>
    </row>
    <row r="855">
      <c r="A855" s="87"/>
      <c r="B855" s="87"/>
      <c r="P855" s="87"/>
    </row>
    <row r="856">
      <c r="A856" s="87"/>
      <c r="B856" s="87"/>
      <c r="P856" s="87"/>
    </row>
    <row r="857">
      <c r="A857" s="87"/>
      <c r="B857" s="87"/>
      <c r="P857" s="87"/>
    </row>
    <row r="858">
      <c r="A858" s="87"/>
      <c r="B858" s="87"/>
      <c r="P858" s="87"/>
    </row>
    <row r="859">
      <c r="A859" s="87"/>
      <c r="B859" s="87"/>
      <c r="P859" s="87"/>
    </row>
    <row r="860">
      <c r="A860" s="87"/>
      <c r="B860" s="87"/>
      <c r="P860" s="87"/>
    </row>
    <row r="861">
      <c r="A861" s="87"/>
      <c r="B861" s="87"/>
      <c r="P861" s="87"/>
    </row>
    <row r="862">
      <c r="A862" s="87"/>
      <c r="B862" s="87"/>
      <c r="P862" s="87"/>
    </row>
    <row r="863">
      <c r="A863" s="87"/>
      <c r="B863" s="87"/>
      <c r="P863" s="87"/>
    </row>
    <row r="864">
      <c r="A864" s="87"/>
      <c r="B864" s="87"/>
      <c r="P864" s="87"/>
    </row>
    <row r="865">
      <c r="A865" s="87"/>
      <c r="B865" s="87"/>
      <c r="P865" s="87"/>
    </row>
    <row r="866">
      <c r="A866" s="87"/>
      <c r="B866" s="87"/>
      <c r="P866" s="87"/>
    </row>
    <row r="867">
      <c r="A867" s="87"/>
      <c r="B867" s="87"/>
      <c r="P867" s="87"/>
    </row>
    <row r="868">
      <c r="A868" s="87"/>
      <c r="B868" s="87"/>
      <c r="P868" s="87"/>
    </row>
    <row r="869">
      <c r="A869" s="87"/>
      <c r="B869" s="87"/>
      <c r="P869" s="87"/>
    </row>
    <row r="870">
      <c r="A870" s="87"/>
      <c r="B870" s="87"/>
      <c r="P870" s="87"/>
    </row>
    <row r="871">
      <c r="A871" s="87"/>
      <c r="B871" s="87"/>
      <c r="P871" s="87"/>
    </row>
    <row r="872">
      <c r="A872" s="87"/>
      <c r="B872" s="87"/>
      <c r="P872" s="87"/>
    </row>
    <row r="873">
      <c r="A873" s="87"/>
      <c r="B873" s="87"/>
      <c r="P873" s="87"/>
    </row>
    <row r="874">
      <c r="A874" s="87"/>
      <c r="B874" s="87"/>
      <c r="P874" s="87"/>
    </row>
    <row r="875">
      <c r="A875" s="87"/>
      <c r="B875" s="87"/>
      <c r="P875" s="87"/>
    </row>
    <row r="876">
      <c r="A876" s="87"/>
      <c r="B876" s="87"/>
      <c r="P876" s="87"/>
    </row>
    <row r="877">
      <c r="A877" s="87"/>
      <c r="B877" s="87"/>
      <c r="P877" s="87"/>
    </row>
    <row r="878">
      <c r="A878" s="87"/>
      <c r="B878" s="87"/>
      <c r="P878" s="87"/>
    </row>
    <row r="879">
      <c r="A879" s="87"/>
      <c r="B879" s="87"/>
      <c r="P879" s="87"/>
    </row>
    <row r="880">
      <c r="A880" s="87"/>
      <c r="B880" s="87"/>
      <c r="P880" s="87"/>
    </row>
    <row r="881">
      <c r="A881" s="87"/>
      <c r="B881" s="87"/>
      <c r="P881" s="87"/>
    </row>
    <row r="882">
      <c r="A882" s="87"/>
      <c r="B882" s="87"/>
      <c r="P882" s="87"/>
    </row>
    <row r="883">
      <c r="A883" s="87"/>
      <c r="B883" s="87"/>
      <c r="P883" s="87"/>
    </row>
    <row r="884">
      <c r="A884" s="87"/>
      <c r="B884" s="87"/>
      <c r="P884" s="87"/>
    </row>
    <row r="885">
      <c r="A885" s="87"/>
      <c r="B885" s="87"/>
      <c r="P885" s="87"/>
    </row>
    <row r="886">
      <c r="A886" s="87"/>
      <c r="B886" s="87"/>
      <c r="P886" s="87"/>
    </row>
    <row r="887">
      <c r="A887" s="87"/>
      <c r="B887" s="87"/>
      <c r="P887" s="87"/>
    </row>
    <row r="888">
      <c r="A888" s="87"/>
      <c r="B888" s="87"/>
      <c r="P888" s="87"/>
    </row>
    <row r="889">
      <c r="A889" s="87"/>
      <c r="B889" s="87"/>
      <c r="P889" s="87"/>
    </row>
    <row r="890">
      <c r="A890" s="87"/>
      <c r="B890" s="87"/>
      <c r="P890" s="87"/>
    </row>
    <row r="891">
      <c r="A891" s="87"/>
      <c r="B891" s="87"/>
      <c r="P891" s="87"/>
    </row>
    <row r="892">
      <c r="A892" s="87"/>
      <c r="B892" s="87"/>
      <c r="P892" s="87"/>
    </row>
    <row r="893">
      <c r="A893" s="87"/>
      <c r="B893" s="87"/>
      <c r="P893" s="87"/>
    </row>
    <row r="894">
      <c r="A894" s="87"/>
      <c r="B894" s="87"/>
      <c r="P894" s="87"/>
    </row>
    <row r="895">
      <c r="A895" s="87"/>
      <c r="B895" s="87"/>
      <c r="P895" s="87"/>
    </row>
    <row r="896">
      <c r="A896" s="87"/>
      <c r="B896" s="87"/>
      <c r="P896" s="87"/>
    </row>
    <row r="897">
      <c r="A897" s="87"/>
      <c r="B897" s="87"/>
      <c r="P897" s="87"/>
    </row>
    <row r="898">
      <c r="A898" s="87"/>
      <c r="B898" s="87"/>
      <c r="P898" s="87"/>
    </row>
    <row r="899">
      <c r="A899" s="87"/>
      <c r="B899" s="87"/>
      <c r="P899" s="87"/>
    </row>
    <row r="900">
      <c r="A900" s="87"/>
      <c r="B900" s="87"/>
      <c r="P900" s="87"/>
    </row>
    <row r="901">
      <c r="A901" s="87"/>
      <c r="B901" s="87"/>
      <c r="P901" s="87"/>
    </row>
    <row r="902">
      <c r="A902" s="87"/>
      <c r="B902" s="87"/>
      <c r="P902" s="87"/>
    </row>
    <row r="903">
      <c r="A903" s="87"/>
      <c r="B903" s="87"/>
      <c r="P903" s="87"/>
    </row>
    <row r="904">
      <c r="A904" s="87"/>
      <c r="B904" s="87"/>
      <c r="P904" s="87"/>
    </row>
    <row r="905">
      <c r="A905" s="87"/>
      <c r="B905" s="87"/>
      <c r="P905" s="87"/>
    </row>
    <row r="906">
      <c r="A906" s="87"/>
      <c r="B906" s="87"/>
      <c r="P906" s="87"/>
    </row>
    <row r="907">
      <c r="A907" s="87"/>
      <c r="B907" s="87"/>
      <c r="P907" s="87"/>
    </row>
    <row r="908">
      <c r="A908" s="87"/>
      <c r="B908" s="87"/>
      <c r="P908" s="87"/>
    </row>
    <row r="909">
      <c r="A909" s="87"/>
      <c r="B909" s="87"/>
      <c r="P909" s="87"/>
    </row>
    <row r="910">
      <c r="A910" s="87"/>
      <c r="B910" s="87"/>
      <c r="P910" s="87"/>
    </row>
    <row r="911">
      <c r="A911" s="87"/>
      <c r="B911" s="87"/>
      <c r="P911" s="87"/>
    </row>
    <row r="912">
      <c r="A912" s="87"/>
      <c r="B912" s="87"/>
      <c r="P912" s="87"/>
    </row>
    <row r="913">
      <c r="A913" s="87"/>
      <c r="B913" s="87"/>
      <c r="P913" s="87"/>
    </row>
  </sheetData>
  <mergeCells count="19">
    <mergeCell ref="C2:C3"/>
    <mergeCell ref="D2:D3"/>
    <mergeCell ref="I1:I2"/>
    <mergeCell ref="J2:J3"/>
    <mergeCell ref="K2:K3"/>
    <mergeCell ref="L2:L3"/>
    <mergeCell ref="M2:M3"/>
    <mergeCell ref="O2:O3"/>
    <mergeCell ref="P2:P3"/>
    <mergeCell ref="Q2:Q3"/>
    <mergeCell ref="R2:R3"/>
    <mergeCell ref="S2:V2"/>
    <mergeCell ref="A1:H1"/>
    <mergeCell ref="J1:M1"/>
    <mergeCell ref="O1:V1"/>
    <mergeCell ref="W1:W2"/>
    <mergeCell ref="A2:A3"/>
    <mergeCell ref="B2:B3"/>
    <mergeCell ref="E2:H2"/>
  </mergeCells>
  <dataValidations>
    <dataValidation type="list" allowBlank="1" sqref="D4:D38 R4:R38">
      <formula1>Data!$A$2:$A$12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5.63"/>
    <col customWidth="1" min="7" max="7" width="16.25"/>
    <col customWidth="1" min="9" max="9" width="10.5"/>
    <col customWidth="1" min="11" max="11" width="5.63"/>
    <col customWidth="1" min="12" max="12" width="14.63"/>
    <col customWidth="1" min="16" max="17" width="11.25"/>
    <col customWidth="1" min="18" max="18" width="16.25"/>
    <col customWidth="1" min="20" max="20" width="10.5"/>
  </cols>
  <sheetData>
    <row r="1">
      <c r="A1" s="3" t="s">
        <v>163</v>
      </c>
      <c r="B1" s="5"/>
      <c r="C1" s="5"/>
      <c r="D1" s="5"/>
      <c r="E1" s="5"/>
      <c r="F1" s="5"/>
      <c r="G1" s="5"/>
      <c r="H1" s="6"/>
      <c r="I1" s="8" t="s">
        <v>17</v>
      </c>
      <c r="K1" s="134" t="s">
        <v>164</v>
      </c>
      <c r="L1" s="5"/>
      <c r="M1" s="5"/>
      <c r="N1" s="5"/>
      <c r="O1" s="5"/>
      <c r="P1" s="5"/>
      <c r="Q1" s="5"/>
      <c r="R1" s="5"/>
      <c r="S1" s="6"/>
      <c r="T1" s="8" t="s">
        <v>17</v>
      </c>
    </row>
    <row r="2">
      <c r="A2" s="14" t="s">
        <v>21</v>
      </c>
      <c r="B2" s="14" t="s">
        <v>22</v>
      </c>
      <c r="C2" s="14" t="s">
        <v>0</v>
      </c>
      <c r="D2" s="135" t="s">
        <v>26</v>
      </c>
      <c r="E2" s="136"/>
      <c r="F2" s="136"/>
      <c r="G2" s="136"/>
      <c r="H2" s="137"/>
      <c r="I2" s="15"/>
      <c r="K2" s="14" t="s">
        <v>21</v>
      </c>
      <c r="L2" s="14" t="s">
        <v>22</v>
      </c>
      <c r="M2" s="14" t="s">
        <v>24</v>
      </c>
      <c r="N2" s="14" t="s">
        <v>0</v>
      </c>
      <c r="O2" s="135" t="s">
        <v>26</v>
      </c>
      <c r="P2" s="136"/>
      <c r="Q2" s="136"/>
      <c r="R2" s="136"/>
      <c r="S2" s="137"/>
      <c r="T2" s="15"/>
    </row>
    <row r="3">
      <c r="A3" s="138"/>
      <c r="B3" s="138"/>
      <c r="C3" s="138"/>
      <c r="D3" s="118"/>
      <c r="E3" s="28"/>
      <c r="F3" s="28"/>
      <c r="G3" s="28"/>
      <c r="H3" s="30"/>
      <c r="I3" s="29"/>
      <c r="K3" s="15"/>
      <c r="L3" s="138"/>
      <c r="M3" s="138"/>
      <c r="N3" s="138"/>
      <c r="O3" s="118"/>
      <c r="P3" s="28"/>
      <c r="Q3" s="28"/>
      <c r="R3" s="28"/>
      <c r="S3" s="30"/>
      <c r="T3" s="29"/>
    </row>
    <row r="4">
      <c r="A4" s="15"/>
      <c r="B4" s="15"/>
      <c r="C4" s="15"/>
      <c r="D4" s="25" t="s">
        <v>165</v>
      </c>
      <c r="E4" s="25" t="s">
        <v>5</v>
      </c>
      <c r="F4" s="25" t="s">
        <v>35</v>
      </c>
      <c r="G4" s="25" t="s">
        <v>36</v>
      </c>
      <c r="H4" s="25" t="s">
        <v>37</v>
      </c>
      <c r="I4" s="29"/>
      <c r="K4" s="31"/>
      <c r="L4" s="15"/>
      <c r="M4" s="15"/>
      <c r="N4" s="15"/>
      <c r="O4" s="25" t="s">
        <v>165</v>
      </c>
      <c r="P4" s="25" t="s">
        <v>5</v>
      </c>
      <c r="Q4" s="25" t="s">
        <v>35</v>
      </c>
      <c r="R4" s="25" t="s">
        <v>36</v>
      </c>
      <c r="S4" s="25" t="s">
        <v>37</v>
      </c>
      <c r="T4" s="29"/>
    </row>
    <row r="5">
      <c r="A5" s="31">
        <v>1.0</v>
      </c>
      <c r="B5" s="139" t="s">
        <v>166</v>
      </c>
      <c r="C5" s="139" t="s">
        <v>6</v>
      </c>
      <c r="D5" s="140" t="s">
        <v>9</v>
      </c>
      <c r="E5" s="1">
        <v>900.0</v>
      </c>
      <c r="F5" s="1">
        <v>900.0</v>
      </c>
      <c r="G5" s="37">
        <f t="shared" ref="G5:G19" si="1">E5-F5</f>
        <v>0</v>
      </c>
      <c r="H5" s="37"/>
      <c r="I5" s="29"/>
      <c r="K5" s="31">
        <v>1.0</v>
      </c>
      <c r="L5" s="1"/>
      <c r="M5" s="37"/>
      <c r="N5" s="37"/>
      <c r="O5" s="42"/>
      <c r="P5" s="1"/>
      <c r="Q5" s="37"/>
      <c r="R5" s="37">
        <f t="shared" ref="R5:R19" si="2">P5-Q5</f>
        <v>0</v>
      </c>
      <c r="S5" s="37"/>
      <c r="T5" s="29"/>
    </row>
    <row r="6">
      <c r="A6" s="31">
        <v>2.0</v>
      </c>
      <c r="B6" s="139" t="s">
        <v>167</v>
      </c>
      <c r="C6" s="139" t="s">
        <v>6</v>
      </c>
      <c r="D6" s="140" t="s">
        <v>9</v>
      </c>
      <c r="E6" s="1">
        <v>900.0</v>
      </c>
      <c r="F6" s="1">
        <v>900.0</v>
      </c>
      <c r="G6" s="37">
        <f t="shared" si="1"/>
        <v>0</v>
      </c>
      <c r="H6" s="37"/>
      <c r="I6" s="29"/>
      <c r="K6" s="31">
        <v>2.0</v>
      </c>
      <c r="L6" s="1"/>
      <c r="M6" s="37"/>
      <c r="N6" s="37"/>
      <c r="O6" s="42"/>
      <c r="P6" s="1"/>
      <c r="Q6" s="37"/>
      <c r="R6" s="37">
        <f t="shared" si="2"/>
        <v>0</v>
      </c>
      <c r="S6" s="37"/>
      <c r="T6" s="29"/>
    </row>
    <row r="7">
      <c r="A7" s="31">
        <v>3.0</v>
      </c>
      <c r="B7" s="139" t="s">
        <v>122</v>
      </c>
      <c r="C7" s="139"/>
      <c r="D7" s="140" t="s">
        <v>7</v>
      </c>
      <c r="E7" s="1"/>
      <c r="F7" s="1"/>
      <c r="G7" s="37">
        <f t="shared" si="1"/>
        <v>0</v>
      </c>
      <c r="H7" s="1" t="s">
        <v>169</v>
      </c>
      <c r="I7" s="29"/>
      <c r="K7" s="31">
        <v>3.0</v>
      </c>
      <c r="L7" s="1"/>
      <c r="M7" s="37"/>
      <c r="N7" s="37"/>
      <c r="O7" s="42"/>
      <c r="P7" s="1"/>
      <c r="Q7" s="37"/>
      <c r="R7" s="37">
        <f t="shared" si="2"/>
        <v>0</v>
      </c>
      <c r="S7" s="37"/>
      <c r="T7" s="29"/>
    </row>
    <row r="8">
      <c r="A8" s="31">
        <v>4.0</v>
      </c>
      <c r="B8" s="141" t="s">
        <v>170</v>
      </c>
      <c r="C8" s="139" t="s">
        <v>6</v>
      </c>
      <c r="D8" s="140" t="s">
        <v>7</v>
      </c>
      <c r="E8" s="1"/>
      <c r="F8" s="1"/>
      <c r="G8" s="37">
        <f t="shared" si="1"/>
        <v>0</v>
      </c>
      <c r="H8" s="1" t="s">
        <v>169</v>
      </c>
      <c r="I8" s="29"/>
      <c r="K8" s="31">
        <v>4.0</v>
      </c>
      <c r="L8" s="1"/>
      <c r="M8" s="37"/>
      <c r="N8" s="37"/>
      <c r="O8" s="42"/>
      <c r="P8" s="1"/>
      <c r="Q8" s="1"/>
      <c r="R8" s="37">
        <f t="shared" si="2"/>
        <v>0</v>
      </c>
      <c r="S8" s="37"/>
      <c r="T8" s="29"/>
    </row>
    <row r="9">
      <c r="A9" s="31">
        <v>5.0</v>
      </c>
      <c r="B9" s="139" t="s">
        <v>171</v>
      </c>
      <c r="C9" s="139" t="s">
        <v>6</v>
      </c>
      <c r="D9" s="140" t="s">
        <v>7</v>
      </c>
      <c r="E9" s="1"/>
      <c r="F9" s="1"/>
      <c r="G9" s="37">
        <f t="shared" si="1"/>
        <v>0</v>
      </c>
      <c r="H9" s="1" t="s">
        <v>169</v>
      </c>
      <c r="I9" s="29"/>
      <c r="K9" s="31">
        <v>5.0</v>
      </c>
      <c r="L9" s="1"/>
      <c r="M9" s="37"/>
      <c r="N9" s="37"/>
      <c r="O9" s="42"/>
      <c r="P9" s="1"/>
      <c r="Q9" s="37"/>
      <c r="R9" s="37">
        <f t="shared" si="2"/>
        <v>0</v>
      </c>
      <c r="S9" s="37"/>
      <c r="T9" s="29"/>
    </row>
    <row r="10">
      <c r="A10" s="31">
        <v>6.0</v>
      </c>
      <c r="B10" s="139" t="s">
        <v>172</v>
      </c>
      <c r="C10" s="139" t="s">
        <v>6</v>
      </c>
      <c r="D10" s="140" t="s">
        <v>7</v>
      </c>
      <c r="E10" s="1"/>
      <c r="F10" s="1"/>
      <c r="G10" s="37">
        <f t="shared" si="1"/>
        <v>0</v>
      </c>
      <c r="H10" s="1" t="s">
        <v>169</v>
      </c>
      <c r="I10" s="29"/>
      <c r="K10" s="31">
        <v>6.0</v>
      </c>
      <c r="L10" s="1"/>
      <c r="M10" s="37"/>
      <c r="N10" s="37"/>
      <c r="O10" s="42"/>
      <c r="P10" s="1"/>
      <c r="Q10" s="37"/>
      <c r="R10" s="37">
        <f t="shared" si="2"/>
        <v>0</v>
      </c>
      <c r="S10" s="37"/>
      <c r="T10" s="29"/>
    </row>
    <row r="11">
      <c r="A11" s="31">
        <v>7.0</v>
      </c>
      <c r="B11" s="139" t="s">
        <v>174</v>
      </c>
      <c r="C11" s="139" t="s">
        <v>6</v>
      </c>
      <c r="D11" s="140" t="s">
        <v>7</v>
      </c>
      <c r="E11" s="1"/>
      <c r="F11" s="1"/>
      <c r="G11" s="37">
        <f t="shared" si="1"/>
        <v>0</v>
      </c>
      <c r="H11" s="1" t="s">
        <v>169</v>
      </c>
      <c r="I11" s="29"/>
      <c r="K11" s="31">
        <v>7.0</v>
      </c>
      <c r="L11" s="1"/>
      <c r="M11" s="37"/>
      <c r="N11" s="37"/>
      <c r="O11" s="42"/>
      <c r="P11" s="1"/>
      <c r="Q11" s="37"/>
      <c r="R11" s="37">
        <f t="shared" si="2"/>
        <v>0</v>
      </c>
      <c r="S11" s="37"/>
      <c r="T11" s="29"/>
    </row>
    <row r="12">
      <c r="A12" s="31">
        <v>8.0</v>
      </c>
      <c r="B12" s="139" t="s">
        <v>175</v>
      </c>
      <c r="C12" s="139" t="s">
        <v>6</v>
      </c>
      <c r="D12" s="140" t="s">
        <v>7</v>
      </c>
      <c r="E12" s="1"/>
      <c r="F12" s="1"/>
      <c r="G12" s="37">
        <f t="shared" si="1"/>
        <v>0</v>
      </c>
      <c r="H12" s="1" t="s">
        <v>169</v>
      </c>
      <c r="I12" s="29"/>
      <c r="K12" s="31">
        <v>8.0</v>
      </c>
      <c r="L12" s="1"/>
      <c r="M12" s="37"/>
      <c r="N12" s="37"/>
      <c r="O12" s="42"/>
      <c r="P12" s="1"/>
      <c r="Q12" s="37"/>
      <c r="R12" s="37">
        <f t="shared" si="2"/>
        <v>0</v>
      </c>
      <c r="S12" s="37"/>
      <c r="T12" s="29"/>
    </row>
    <row r="13">
      <c r="A13" s="31">
        <v>9.0</v>
      </c>
      <c r="B13" s="139" t="s">
        <v>178</v>
      </c>
      <c r="C13" s="139" t="s">
        <v>6</v>
      </c>
      <c r="D13" s="140" t="s">
        <v>7</v>
      </c>
      <c r="E13" s="1"/>
      <c r="F13" s="1"/>
      <c r="G13" s="37">
        <f t="shared" si="1"/>
        <v>0</v>
      </c>
      <c r="H13" s="1" t="s">
        <v>169</v>
      </c>
      <c r="I13" s="29"/>
      <c r="K13" s="31">
        <v>9.0</v>
      </c>
      <c r="L13" s="1"/>
      <c r="M13" s="37"/>
      <c r="N13" s="37"/>
      <c r="O13" s="42"/>
      <c r="P13" s="1"/>
      <c r="Q13" s="37"/>
      <c r="R13" s="37">
        <f t="shared" si="2"/>
        <v>0</v>
      </c>
      <c r="S13" s="37"/>
      <c r="T13" s="29"/>
    </row>
    <row r="14">
      <c r="A14" s="31">
        <v>10.0</v>
      </c>
      <c r="B14" s="31" t="s">
        <v>180</v>
      </c>
      <c r="C14" s="31" t="s">
        <v>6</v>
      </c>
      <c r="D14" s="148" t="s">
        <v>9</v>
      </c>
      <c r="E14" s="1">
        <v>900.0</v>
      </c>
      <c r="F14" s="1">
        <v>900.0</v>
      </c>
      <c r="G14" s="37">
        <f t="shared" si="1"/>
        <v>0</v>
      </c>
      <c r="H14" s="37"/>
      <c r="I14" s="29"/>
      <c r="K14" s="31">
        <v>10.0</v>
      </c>
      <c r="L14" s="1"/>
      <c r="M14" s="37"/>
      <c r="N14" s="37"/>
      <c r="O14" s="42"/>
      <c r="P14" s="1"/>
      <c r="Q14" s="37"/>
      <c r="R14" s="37">
        <f t="shared" si="2"/>
        <v>0</v>
      </c>
      <c r="S14" s="37"/>
      <c r="T14" s="29"/>
    </row>
    <row r="15">
      <c r="A15" s="31">
        <v>11.0</v>
      </c>
      <c r="B15" s="31"/>
      <c r="C15" s="31"/>
      <c r="D15" s="148"/>
      <c r="E15" s="1"/>
      <c r="F15" s="37"/>
      <c r="G15" s="37">
        <f t="shared" si="1"/>
        <v>0</v>
      </c>
      <c r="H15" s="37"/>
      <c r="I15" s="29"/>
      <c r="K15" s="31">
        <v>11.0</v>
      </c>
      <c r="L15" s="1"/>
      <c r="M15" s="37"/>
      <c r="N15" s="37"/>
      <c r="O15" s="42"/>
      <c r="P15" s="1"/>
      <c r="Q15" s="37"/>
      <c r="R15" s="37">
        <f t="shared" si="2"/>
        <v>0</v>
      </c>
      <c r="S15" s="37"/>
      <c r="T15" s="29"/>
    </row>
    <row r="16">
      <c r="A16" s="31">
        <v>12.0</v>
      </c>
      <c r="B16" s="31"/>
      <c r="C16" s="31"/>
      <c r="D16" s="148"/>
      <c r="E16" s="1"/>
      <c r="F16" s="1"/>
      <c r="G16" s="37">
        <f t="shared" si="1"/>
        <v>0</v>
      </c>
      <c r="H16" s="37"/>
      <c r="I16" s="29"/>
      <c r="K16" s="31">
        <v>12.0</v>
      </c>
      <c r="L16" s="1"/>
      <c r="M16" s="37"/>
      <c r="N16" s="37"/>
      <c r="O16" s="42"/>
      <c r="P16" s="1"/>
      <c r="Q16" s="37"/>
      <c r="R16" s="37">
        <f t="shared" si="2"/>
        <v>0</v>
      </c>
      <c r="S16" s="37"/>
      <c r="T16" s="29"/>
    </row>
    <row r="17">
      <c r="A17" s="31">
        <v>13.0</v>
      </c>
      <c r="B17" s="31"/>
      <c r="C17" s="31"/>
      <c r="D17" s="148"/>
      <c r="E17" s="1"/>
      <c r="F17" s="1"/>
      <c r="G17" s="37">
        <f t="shared" si="1"/>
        <v>0</v>
      </c>
      <c r="H17" s="37"/>
      <c r="I17" s="29"/>
      <c r="K17" s="31">
        <v>13.0</v>
      </c>
      <c r="L17" s="1"/>
      <c r="M17" s="37"/>
      <c r="N17" s="37"/>
      <c r="O17" s="42"/>
      <c r="P17" s="1"/>
      <c r="Q17" s="37"/>
      <c r="R17" s="37">
        <f t="shared" si="2"/>
        <v>0</v>
      </c>
      <c r="S17" s="37"/>
      <c r="T17" s="29"/>
    </row>
    <row r="18">
      <c r="A18" s="31">
        <v>14.0</v>
      </c>
      <c r="B18" s="31"/>
      <c r="C18" s="31"/>
      <c r="D18" s="148"/>
      <c r="E18" s="1"/>
      <c r="F18" s="37"/>
      <c r="G18" s="37">
        <f t="shared" si="1"/>
        <v>0</v>
      </c>
      <c r="H18" s="37"/>
      <c r="I18" s="29"/>
      <c r="K18" s="31">
        <v>14.0</v>
      </c>
      <c r="L18" s="1"/>
      <c r="M18" s="37"/>
      <c r="N18" s="37"/>
      <c r="O18" s="42"/>
      <c r="P18" s="1"/>
      <c r="Q18" s="37"/>
      <c r="R18" s="37">
        <f t="shared" si="2"/>
        <v>0</v>
      </c>
      <c r="S18" s="37"/>
      <c r="T18" s="29"/>
    </row>
    <row r="19">
      <c r="A19" s="31">
        <v>15.0</v>
      </c>
      <c r="B19" s="31">
        <f>COUNTIFS(B5:B14,"*")</f>
        <v>10</v>
      </c>
      <c r="C19" s="31"/>
      <c r="D19" s="148"/>
      <c r="E19" s="1"/>
      <c r="F19" s="37"/>
      <c r="G19" s="37">
        <f t="shared" si="1"/>
        <v>0</v>
      </c>
      <c r="H19" s="37"/>
      <c r="I19" s="29"/>
      <c r="K19" s="31">
        <v>15.0</v>
      </c>
      <c r="L19" s="1"/>
      <c r="M19" s="37"/>
      <c r="N19" s="37"/>
      <c r="O19" s="42"/>
      <c r="P19" s="1"/>
      <c r="Q19" s="37"/>
      <c r="R19" s="37">
        <f t="shared" si="2"/>
        <v>0</v>
      </c>
      <c r="S19" s="37"/>
      <c r="T19" s="29"/>
    </row>
    <row r="20">
      <c r="A20" s="3" t="s">
        <v>181</v>
      </c>
      <c r="B20" s="5"/>
      <c r="C20" s="5"/>
      <c r="D20" s="5"/>
      <c r="E20" s="5"/>
      <c r="F20" s="5"/>
      <c r="G20" s="5"/>
      <c r="H20" s="6"/>
      <c r="I20" s="151" t="s">
        <v>17</v>
      </c>
      <c r="K20" s="3" t="s">
        <v>182</v>
      </c>
      <c r="L20" s="5"/>
      <c r="M20" s="5"/>
      <c r="N20" s="5"/>
      <c r="O20" s="5"/>
      <c r="P20" s="5"/>
      <c r="Q20" s="5"/>
      <c r="R20" s="5"/>
      <c r="S20" s="6"/>
      <c r="T20" s="151" t="s">
        <v>17</v>
      </c>
    </row>
    <row r="21">
      <c r="A21" s="31">
        <v>1.0</v>
      </c>
      <c r="B21" s="31"/>
      <c r="C21" s="31"/>
      <c r="D21" s="148"/>
      <c r="E21" s="1"/>
      <c r="F21" s="37"/>
      <c r="G21" s="37">
        <f t="shared" ref="G21:G42" si="3">E21-F21</f>
        <v>0</v>
      </c>
      <c r="H21" s="37"/>
      <c r="I21" s="29"/>
      <c r="K21" s="31">
        <v>17.0</v>
      </c>
      <c r="L21" s="1"/>
      <c r="M21" s="37"/>
      <c r="N21" s="37"/>
      <c r="O21" s="42"/>
      <c r="P21" s="1"/>
      <c r="Q21" s="37"/>
      <c r="R21" s="37">
        <f t="shared" ref="R21:R42" si="4">P21-Q21</f>
        <v>0</v>
      </c>
      <c r="S21" s="37"/>
      <c r="T21" s="29"/>
    </row>
    <row r="22">
      <c r="A22" s="31">
        <v>2.0</v>
      </c>
      <c r="B22" s="31"/>
      <c r="C22" s="31"/>
      <c r="D22" s="148"/>
      <c r="E22" s="1"/>
      <c r="F22" s="37"/>
      <c r="G22" s="37">
        <f t="shared" si="3"/>
        <v>0</v>
      </c>
      <c r="H22" s="37"/>
      <c r="I22" s="29"/>
      <c r="K22" s="31">
        <v>18.0</v>
      </c>
      <c r="L22" s="1"/>
      <c r="M22" s="37"/>
      <c r="N22" s="37"/>
      <c r="O22" s="42"/>
      <c r="P22" s="1"/>
      <c r="Q22" s="37"/>
      <c r="R22" s="37">
        <f t="shared" si="4"/>
        <v>0</v>
      </c>
      <c r="S22" s="37"/>
      <c r="T22" s="29"/>
    </row>
    <row r="23">
      <c r="A23" s="31">
        <v>3.0</v>
      </c>
      <c r="B23" s="31"/>
      <c r="C23" s="31"/>
      <c r="D23" s="148"/>
      <c r="E23" s="1"/>
      <c r="F23" s="37"/>
      <c r="G23" s="37">
        <f t="shared" si="3"/>
        <v>0</v>
      </c>
      <c r="H23" s="37"/>
      <c r="I23" s="29"/>
      <c r="K23" s="31">
        <v>19.0</v>
      </c>
      <c r="L23" s="37"/>
      <c r="M23" s="37"/>
      <c r="N23" s="37"/>
      <c r="O23" s="42"/>
      <c r="P23" s="1"/>
      <c r="Q23" s="37"/>
      <c r="R23" s="37">
        <f t="shared" si="4"/>
        <v>0</v>
      </c>
      <c r="S23" s="37"/>
      <c r="T23" s="29"/>
    </row>
    <row r="24">
      <c r="A24" s="31">
        <v>4.0</v>
      </c>
      <c r="B24" s="31"/>
      <c r="C24" s="31"/>
      <c r="D24" s="148"/>
      <c r="E24" s="1"/>
      <c r="F24" s="37"/>
      <c r="G24" s="37">
        <f t="shared" si="3"/>
        <v>0</v>
      </c>
      <c r="H24" s="37"/>
      <c r="I24" s="29"/>
      <c r="K24" s="31">
        <v>20.0</v>
      </c>
      <c r="L24" s="37"/>
      <c r="M24" s="37"/>
      <c r="N24" s="37"/>
      <c r="O24" s="42"/>
      <c r="P24" s="1"/>
      <c r="Q24" s="37"/>
      <c r="R24" s="37">
        <f t="shared" si="4"/>
        <v>0</v>
      </c>
      <c r="S24" s="37"/>
      <c r="T24" s="29"/>
    </row>
    <row r="25">
      <c r="A25" s="31">
        <v>5.0</v>
      </c>
      <c r="B25" s="37"/>
      <c r="C25" s="37"/>
      <c r="D25" s="42"/>
      <c r="E25" s="1"/>
      <c r="F25" s="37"/>
      <c r="G25" s="37">
        <f t="shared" si="3"/>
        <v>0</v>
      </c>
      <c r="H25" s="37"/>
      <c r="I25" s="29"/>
      <c r="K25" s="31">
        <v>21.0</v>
      </c>
      <c r="L25" s="37"/>
      <c r="M25" s="37"/>
      <c r="N25" s="37"/>
      <c r="O25" s="42"/>
      <c r="P25" s="1"/>
      <c r="Q25" s="37"/>
      <c r="R25" s="37">
        <f t="shared" si="4"/>
        <v>0</v>
      </c>
      <c r="S25" s="37"/>
      <c r="T25" s="29"/>
    </row>
    <row r="26">
      <c r="A26" s="31">
        <v>6.0</v>
      </c>
      <c r="B26" s="37"/>
      <c r="C26" s="37"/>
      <c r="D26" s="42"/>
      <c r="E26" s="1"/>
      <c r="F26" s="37"/>
      <c r="G26" s="37">
        <f t="shared" si="3"/>
        <v>0</v>
      </c>
      <c r="H26" s="37"/>
      <c r="I26" s="29"/>
      <c r="K26" s="31">
        <v>22.0</v>
      </c>
      <c r="L26" s="37"/>
      <c r="M26" s="37"/>
      <c r="N26" s="37"/>
      <c r="O26" s="42"/>
      <c r="P26" s="1"/>
      <c r="Q26" s="37"/>
      <c r="R26" s="37">
        <f t="shared" si="4"/>
        <v>0</v>
      </c>
      <c r="S26" s="37"/>
      <c r="T26" s="29"/>
    </row>
    <row r="27">
      <c r="A27" s="31">
        <v>7.0</v>
      </c>
      <c r="B27" s="37"/>
      <c r="C27" s="37"/>
      <c r="D27" s="42"/>
      <c r="E27" s="1"/>
      <c r="F27" s="37"/>
      <c r="G27" s="37">
        <f t="shared" si="3"/>
        <v>0</v>
      </c>
      <c r="H27" s="37"/>
      <c r="I27" s="29"/>
      <c r="K27" s="31">
        <v>23.0</v>
      </c>
      <c r="L27" s="37"/>
      <c r="M27" s="37"/>
      <c r="N27" s="37"/>
      <c r="O27" s="42"/>
      <c r="P27" s="1"/>
      <c r="Q27" s="37"/>
      <c r="R27" s="37">
        <f t="shared" si="4"/>
        <v>0</v>
      </c>
      <c r="S27" s="37"/>
      <c r="T27" s="29"/>
    </row>
    <row r="28">
      <c r="A28" s="31">
        <v>8.0</v>
      </c>
      <c r="B28" s="37"/>
      <c r="C28" s="37"/>
      <c r="D28" s="42"/>
      <c r="E28" s="1"/>
      <c r="F28" s="37"/>
      <c r="G28" s="37">
        <f t="shared" si="3"/>
        <v>0</v>
      </c>
      <c r="H28" s="37"/>
      <c r="I28" s="29"/>
      <c r="K28" s="31">
        <v>24.0</v>
      </c>
      <c r="L28" s="37"/>
      <c r="M28" s="37"/>
      <c r="N28" s="37"/>
      <c r="O28" s="42"/>
      <c r="P28" s="1"/>
      <c r="Q28" s="37"/>
      <c r="R28" s="37">
        <f t="shared" si="4"/>
        <v>0</v>
      </c>
      <c r="S28" s="37"/>
      <c r="T28" s="29"/>
    </row>
    <row r="29">
      <c r="A29" s="31">
        <v>9.0</v>
      </c>
      <c r="B29" s="37"/>
      <c r="C29" s="37"/>
      <c r="D29" s="42"/>
      <c r="E29" s="1"/>
      <c r="F29" s="37"/>
      <c r="G29" s="37">
        <f t="shared" si="3"/>
        <v>0</v>
      </c>
      <c r="H29" s="37"/>
      <c r="I29" s="29"/>
      <c r="K29" s="31">
        <v>25.0</v>
      </c>
      <c r="L29" s="37"/>
      <c r="M29" s="37"/>
      <c r="N29" s="37"/>
      <c r="O29" s="42"/>
      <c r="P29" s="1"/>
      <c r="Q29" s="37"/>
      <c r="R29" s="37">
        <f t="shared" si="4"/>
        <v>0</v>
      </c>
      <c r="S29" s="37"/>
      <c r="T29" s="29"/>
    </row>
    <row r="30">
      <c r="A30" s="31">
        <v>10.0</v>
      </c>
      <c r="B30" s="37"/>
      <c r="C30" s="37"/>
      <c r="D30" s="42"/>
      <c r="E30" s="1"/>
      <c r="F30" s="37"/>
      <c r="G30" s="37">
        <f t="shared" si="3"/>
        <v>0</v>
      </c>
      <c r="H30" s="37"/>
      <c r="I30" s="29"/>
      <c r="K30" s="31">
        <v>26.0</v>
      </c>
      <c r="L30" s="37"/>
      <c r="M30" s="37"/>
      <c r="N30" s="37"/>
      <c r="O30" s="42"/>
      <c r="P30" s="1"/>
      <c r="Q30" s="37"/>
      <c r="R30" s="37">
        <f t="shared" si="4"/>
        <v>0</v>
      </c>
      <c r="S30" s="37"/>
      <c r="T30" s="29"/>
    </row>
    <row r="31">
      <c r="A31" s="31">
        <v>11.0</v>
      </c>
      <c r="B31" s="37"/>
      <c r="C31" s="37"/>
      <c r="D31" s="42"/>
      <c r="E31" s="1"/>
      <c r="F31" s="37"/>
      <c r="G31" s="37">
        <f t="shared" si="3"/>
        <v>0</v>
      </c>
      <c r="H31" s="37"/>
      <c r="I31" s="29"/>
      <c r="K31" s="31">
        <v>27.0</v>
      </c>
      <c r="L31" s="37"/>
      <c r="M31" s="37"/>
      <c r="N31" s="37"/>
      <c r="O31" s="42"/>
      <c r="P31" s="1"/>
      <c r="Q31" s="37"/>
      <c r="R31" s="37">
        <f t="shared" si="4"/>
        <v>0</v>
      </c>
      <c r="S31" s="37"/>
      <c r="T31" s="29"/>
    </row>
    <row r="32">
      <c r="A32" s="31">
        <v>12.0</v>
      </c>
      <c r="B32" s="37"/>
      <c r="C32" s="37"/>
      <c r="D32" s="42"/>
      <c r="E32" s="1"/>
      <c r="F32" s="37"/>
      <c r="G32" s="37">
        <f t="shared" si="3"/>
        <v>0</v>
      </c>
      <c r="H32" s="37"/>
      <c r="I32" s="29"/>
      <c r="K32" s="31">
        <v>28.0</v>
      </c>
      <c r="L32" s="37"/>
      <c r="M32" s="37"/>
      <c r="N32" s="37"/>
      <c r="O32" s="42"/>
      <c r="P32" s="1"/>
      <c r="Q32" s="37"/>
      <c r="R32" s="37">
        <f t="shared" si="4"/>
        <v>0</v>
      </c>
      <c r="S32" s="37"/>
      <c r="T32" s="29"/>
    </row>
    <row r="33">
      <c r="A33" s="31">
        <v>13.0</v>
      </c>
      <c r="B33" s="37"/>
      <c r="C33" s="37"/>
      <c r="D33" s="42"/>
      <c r="E33" s="1"/>
      <c r="F33" s="37"/>
      <c r="G33" s="37">
        <f t="shared" si="3"/>
        <v>0</v>
      </c>
      <c r="H33" s="37"/>
      <c r="I33" s="29"/>
      <c r="K33" s="31">
        <v>29.0</v>
      </c>
      <c r="L33" s="37"/>
      <c r="M33" s="37"/>
      <c r="N33" s="37"/>
      <c r="O33" s="42"/>
      <c r="P33" s="1"/>
      <c r="Q33" s="37"/>
      <c r="R33" s="37">
        <f t="shared" si="4"/>
        <v>0</v>
      </c>
      <c r="S33" s="37"/>
      <c r="T33" s="29"/>
    </row>
    <row r="34">
      <c r="A34" s="31">
        <v>14.0</v>
      </c>
      <c r="B34" s="37"/>
      <c r="C34" s="37"/>
      <c r="D34" s="42"/>
      <c r="E34" s="1"/>
      <c r="F34" s="37"/>
      <c r="G34" s="37">
        <f t="shared" si="3"/>
        <v>0</v>
      </c>
      <c r="H34" s="37"/>
      <c r="I34" s="29"/>
      <c r="K34" s="31">
        <v>30.0</v>
      </c>
      <c r="L34" s="37"/>
      <c r="M34" s="37"/>
      <c r="N34" s="37"/>
      <c r="O34" s="42"/>
      <c r="P34" s="1"/>
      <c r="Q34" s="37"/>
      <c r="R34" s="37">
        <f t="shared" si="4"/>
        <v>0</v>
      </c>
      <c r="S34" s="37"/>
      <c r="T34" s="29"/>
    </row>
    <row r="35">
      <c r="A35" s="31">
        <v>15.0</v>
      </c>
      <c r="B35" s="37"/>
      <c r="C35" s="37"/>
      <c r="D35" s="42"/>
      <c r="E35" s="1"/>
      <c r="F35" s="37"/>
      <c r="G35" s="37">
        <f t="shared" si="3"/>
        <v>0</v>
      </c>
      <c r="H35" s="37"/>
      <c r="I35" s="29"/>
      <c r="K35" s="31">
        <v>31.0</v>
      </c>
      <c r="L35" s="37"/>
      <c r="M35" s="37"/>
      <c r="N35" s="37"/>
      <c r="O35" s="42"/>
      <c r="P35" s="1"/>
      <c r="Q35" s="37"/>
      <c r="R35" s="37">
        <f t="shared" si="4"/>
        <v>0</v>
      </c>
      <c r="S35" s="37"/>
      <c r="T35" s="29"/>
    </row>
    <row r="36">
      <c r="A36" s="37"/>
      <c r="B36" s="37"/>
      <c r="C36" s="37"/>
      <c r="D36" s="42"/>
      <c r="E36" s="1"/>
      <c r="F36" s="37"/>
      <c r="G36" s="37">
        <f t="shared" si="3"/>
        <v>0</v>
      </c>
      <c r="H36" s="37"/>
      <c r="I36" s="29"/>
      <c r="K36" s="31">
        <v>32.0</v>
      </c>
      <c r="L36" s="37"/>
      <c r="M36" s="37"/>
      <c r="N36" s="37"/>
      <c r="O36" s="42"/>
      <c r="P36" s="1"/>
      <c r="Q36" s="37"/>
      <c r="R36" s="37">
        <f t="shared" si="4"/>
        <v>0</v>
      </c>
      <c r="S36" s="37"/>
      <c r="T36" s="29"/>
    </row>
    <row r="37">
      <c r="A37" s="37"/>
      <c r="B37" s="37"/>
      <c r="C37" s="37"/>
      <c r="D37" s="42"/>
      <c r="E37" s="1"/>
      <c r="F37" s="37"/>
      <c r="G37" s="37">
        <f t="shared" si="3"/>
        <v>0</v>
      </c>
      <c r="H37" s="37"/>
      <c r="I37" s="29"/>
      <c r="K37" s="31">
        <v>33.0</v>
      </c>
      <c r="L37" s="37"/>
      <c r="M37" s="37"/>
      <c r="N37" s="37"/>
      <c r="O37" s="42"/>
      <c r="P37" s="1"/>
      <c r="Q37" s="37"/>
      <c r="R37" s="37">
        <f t="shared" si="4"/>
        <v>0</v>
      </c>
      <c r="S37" s="37"/>
      <c r="T37" s="29"/>
    </row>
    <row r="38">
      <c r="A38" s="37"/>
      <c r="B38" s="37"/>
      <c r="C38" s="37"/>
      <c r="D38" s="42"/>
      <c r="E38" s="1"/>
      <c r="F38" s="37"/>
      <c r="G38" s="37">
        <f t="shared" si="3"/>
        <v>0</v>
      </c>
      <c r="H38" s="37"/>
      <c r="I38" s="29"/>
      <c r="K38" s="31">
        <v>34.0</v>
      </c>
      <c r="L38" s="37"/>
      <c r="M38" s="37"/>
      <c r="N38" s="37"/>
      <c r="O38" s="42"/>
      <c r="P38" s="1"/>
      <c r="Q38" s="37"/>
      <c r="R38" s="37">
        <f t="shared" si="4"/>
        <v>0</v>
      </c>
      <c r="S38" s="37"/>
      <c r="T38" s="29"/>
    </row>
    <row r="39">
      <c r="A39" s="37"/>
      <c r="B39" s="37"/>
      <c r="C39" s="37"/>
      <c r="D39" s="42"/>
      <c r="E39" s="1"/>
      <c r="F39" s="37"/>
      <c r="G39" s="37">
        <f t="shared" si="3"/>
        <v>0</v>
      </c>
      <c r="H39" s="37"/>
      <c r="I39" s="29"/>
      <c r="K39" s="31">
        <v>35.0</v>
      </c>
      <c r="L39" s="37"/>
      <c r="M39" s="37"/>
      <c r="N39" s="37"/>
      <c r="O39" s="42"/>
      <c r="P39" s="1"/>
      <c r="Q39" s="37"/>
      <c r="R39" s="37">
        <f t="shared" si="4"/>
        <v>0</v>
      </c>
      <c r="S39" s="37"/>
      <c r="T39" s="29"/>
    </row>
    <row r="40">
      <c r="A40" s="37"/>
      <c r="B40" s="37"/>
      <c r="C40" s="37"/>
      <c r="D40" s="42"/>
      <c r="E40" s="1"/>
      <c r="F40" s="37"/>
      <c r="G40" s="37">
        <f t="shared" si="3"/>
        <v>0</v>
      </c>
      <c r="H40" s="37"/>
      <c r="I40" s="29"/>
      <c r="K40" s="31">
        <v>36.0</v>
      </c>
      <c r="L40" s="37"/>
      <c r="M40" s="37"/>
      <c r="N40" s="37"/>
      <c r="O40" s="42"/>
      <c r="P40" s="1"/>
      <c r="Q40" s="37"/>
      <c r="R40" s="37">
        <f t="shared" si="4"/>
        <v>0</v>
      </c>
      <c r="S40" s="37"/>
      <c r="T40" s="29"/>
    </row>
    <row r="41">
      <c r="A41" s="37"/>
      <c r="B41" s="37"/>
      <c r="C41" s="37"/>
      <c r="D41" s="42"/>
      <c r="E41" s="1"/>
      <c r="F41" s="37"/>
      <c r="G41" s="37">
        <f t="shared" si="3"/>
        <v>0</v>
      </c>
      <c r="H41" s="37"/>
      <c r="I41" s="29"/>
      <c r="K41" s="31">
        <v>37.0</v>
      </c>
      <c r="L41" s="37"/>
      <c r="M41" s="37"/>
      <c r="N41" s="37"/>
      <c r="O41" s="42"/>
      <c r="P41" s="1"/>
      <c r="Q41" s="37"/>
      <c r="R41" s="37">
        <f t="shared" si="4"/>
        <v>0</v>
      </c>
      <c r="S41" s="37"/>
      <c r="T41" s="29"/>
    </row>
    <row r="42">
      <c r="A42" s="37"/>
      <c r="B42" s="37"/>
      <c r="C42" s="37"/>
      <c r="D42" s="42"/>
      <c r="E42" s="1"/>
      <c r="F42" s="37"/>
      <c r="G42" s="37">
        <f t="shared" si="3"/>
        <v>0</v>
      </c>
      <c r="H42" s="37"/>
      <c r="I42" s="29"/>
      <c r="K42" s="37"/>
      <c r="L42" s="37"/>
      <c r="M42" s="37"/>
      <c r="N42" s="37"/>
      <c r="O42" s="42"/>
      <c r="P42" s="1"/>
      <c r="Q42" s="37"/>
      <c r="R42" s="37">
        <f t="shared" si="4"/>
        <v>0</v>
      </c>
      <c r="S42" s="37"/>
      <c r="T42" s="29"/>
    </row>
    <row r="43">
      <c r="A43" s="31" t="s">
        <v>28</v>
      </c>
      <c r="B43" s="40">
        <f>countif(B5:B42,"*")</f>
        <v>10</v>
      </c>
      <c r="C43" s="37"/>
      <c r="D43" s="37"/>
      <c r="E43" s="37"/>
      <c r="F43" s="37"/>
      <c r="G43" s="37"/>
      <c r="H43" s="37"/>
      <c r="I43" s="37"/>
      <c r="J43" s="37"/>
      <c r="K43" s="31" t="s">
        <v>28</v>
      </c>
      <c r="L43" s="40">
        <f>countif(L5:L42,"*")</f>
        <v>0</v>
      </c>
      <c r="M43" s="37"/>
      <c r="N43" s="37"/>
      <c r="O43" s="37"/>
      <c r="P43" s="37"/>
      <c r="Q43" s="37"/>
      <c r="R43" s="37"/>
      <c r="S43" s="37"/>
      <c r="T43" s="37"/>
    </row>
    <row r="44">
      <c r="A44" s="87"/>
    </row>
    <row r="45">
      <c r="A45" s="87"/>
    </row>
    <row r="46">
      <c r="A46" s="87"/>
    </row>
    <row r="47">
      <c r="A47" s="87"/>
    </row>
    <row r="48">
      <c r="A48" s="87"/>
    </row>
    <row r="49">
      <c r="A49" s="87"/>
    </row>
    <row r="50">
      <c r="A50" s="87"/>
    </row>
    <row r="51">
      <c r="A51" s="87"/>
    </row>
    <row r="52">
      <c r="A52" s="87"/>
    </row>
    <row r="53">
      <c r="A53" s="87"/>
    </row>
    <row r="54">
      <c r="A54" s="87"/>
    </row>
    <row r="55">
      <c r="A55" s="87"/>
    </row>
    <row r="56">
      <c r="A56" s="87"/>
    </row>
    <row r="57">
      <c r="A57" s="87"/>
    </row>
    <row r="58">
      <c r="A58" s="87"/>
    </row>
    <row r="59">
      <c r="A59" s="87"/>
    </row>
    <row r="60">
      <c r="A60" s="87"/>
    </row>
    <row r="61">
      <c r="A61" s="87"/>
    </row>
    <row r="62">
      <c r="A62" s="87"/>
    </row>
    <row r="63">
      <c r="A63" s="87"/>
    </row>
    <row r="64">
      <c r="A64" s="87"/>
    </row>
    <row r="65">
      <c r="A65" s="87"/>
    </row>
    <row r="66">
      <c r="A66" s="87"/>
    </row>
    <row r="67">
      <c r="A67" s="87"/>
    </row>
    <row r="68">
      <c r="A68" s="87"/>
    </row>
    <row r="69">
      <c r="A69" s="87"/>
    </row>
    <row r="70">
      <c r="A70" s="87"/>
    </row>
    <row r="71">
      <c r="A71" s="87"/>
    </row>
    <row r="72">
      <c r="A72" s="87"/>
    </row>
    <row r="73">
      <c r="A73" s="87"/>
    </row>
    <row r="74">
      <c r="A74" s="87"/>
    </row>
    <row r="75">
      <c r="A75" s="87"/>
    </row>
    <row r="76">
      <c r="A76" s="87"/>
    </row>
    <row r="77">
      <c r="A77" s="87"/>
    </row>
    <row r="78">
      <c r="A78" s="87"/>
    </row>
    <row r="79">
      <c r="A79" s="87"/>
    </row>
    <row r="80">
      <c r="A80" s="87"/>
    </row>
    <row r="81">
      <c r="A81" s="87"/>
    </row>
    <row r="82">
      <c r="A82" s="87"/>
    </row>
    <row r="83">
      <c r="A83" s="87"/>
    </row>
    <row r="84">
      <c r="A84" s="87"/>
    </row>
    <row r="85">
      <c r="A85" s="87"/>
    </row>
    <row r="86">
      <c r="A86" s="87"/>
    </row>
    <row r="87">
      <c r="A87" s="87"/>
    </row>
    <row r="88">
      <c r="A88" s="87"/>
    </row>
    <row r="89">
      <c r="A89" s="87"/>
    </row>
    <row r="90">
      <c r="A90" s="87"/>
    </row>
    <row r="91">
      <c r="A91" s="87"/>
    </row>
    <row r="92">
      <c r="A92" s="87"/>
    </row>
    <row r="93">
      <c r="A93" s="87"/>
    </row>
    <row r="94">
      <c r="A94" s="87"/>
    </row>
    <row r="95">
      <c r="A95" s="87"/>
    </row>
    <row r="96">
      <c r="A96" s="87"/>
    </row>
    <row r="97">
      <c r="A97" s="87"/>
    </row>
    <row r="98">
      <c r="A98" s="87"/>
    </row>
    <row r="99">
      <c r="A99" s="87"/>
    </row>
    <row r="100">
      <c r="A100" s="87"/>
    </row>
    <row r="101">
      <c r="A101" s="87"/>
    </row>
    <row r="102">
      <c r="A102" s="87"/>
    </row>
    <row r="103">
      <c r="A103" s="87"/>
    </row>
    <row r="104">
      <c r="A104" s="87"/>
    </row>
    <row r="105">
      <c r="A105" s="87"/>
    </row>
    <row r="106">
      <c r="A106" s="87"/>
    </row>
    <row r="107">
      <c r="A107" s="87"/>
    </row>
    <row r="108">
      <c r="A108" s="87"/>
    </row>
    <row r="109">
      <c r="A109" s="87"/>
    </row>
    <row r="110">
      <c r="A110" s="87"/>
    </row>
    <row r="111">
      <c r="A111" s="87"/>
    </row>
    <row r="112">
      <c r="A112" s="87"/>
    </row>
    <row r="113">
      <c r="A113" s="87"/>
    </row>
    <row r="114">
      <c r="A114" s="87"/>
    </row>
    <row r="115">
      <c r="A115" s="87"/>
    </row>
    <row r="116">
      <c r="A116" s="87"/>
    </row>
    <row r="117">
      <c r="A117" s="87"/>
    </row>
    <row r="118">
      <c r="A118" s="87"/>
    </row>
    <row r="119">
      <c r="A119" s="87"/>
    </row>
    <row r="120">
      <c r="A120" s="87"/>
    </row>
    <row r="121">
      <c r="A121" s="87"/>
    </row>
    <row r="122">
      <c r="A122" s="87"/>
    </row>
    <row r="123">
      <c r="A123" s="87"/>
    </row>
    <row r="124">
      <c r="A124" s="87"/>
    </row>
    <row r="125">
      <c r="A125" s="87"/>
    </row>
    <row r="126">
      <c r="A126" s="87"/>
    </row>
    <row r="127">
      <c r="A127" s="87"/>
    </row>
    <row r="128">
      <c r="A128" s="87"/>
    </row>
    <row r="129">
      <c r="A129" s="87"/>
    </row>
    <row r="130">
      <c r="A130" s="87"/>
    </row>
    <row r="131">
      <c r="A131" s="87"/>
    </row>
    <row r="132">
      <c r="A132" s="87"/>
    </row>
    <row r="133">
      <c r="A133" s="87"/>
    </row>
    <row r="134">
      <c r="A134" s="87"/>
    </row>
    <row r="135">
      <c r="A135" s="87"/>
    </row>
    <row r="136">
      <c r="A136" s="87"/>
    </row>
    <row r="137">
      <c r="A137" s="87"/>
    </row>
    <row r="138">
      <c r="A138" s="87"/>
    </row>
    <row r="139">
      <c r="A139" s="87"/>
    </row>
    <row r="140">
      <c r="A140" s="87"/>
    </row>
    <row r="141">
      <c r="A141" s="87"/>
    </row>
    <row r="142">
      <c r="A142" s="87"/>
    </row>
    <row r="143">
      <c r="A143" s="87"/>
    </row>
    <row r="144">
      <c r="A144" s="87"/>
    </row>
    <row r="145">
      <c r="A145" s="87"/>
    </row>
    <row r="146">
      <c r="A146" s="87"/>
    </row>
    <row r="147">
      <c r="A147" s="87"/>
    </row>
    <row r="148">
      <c r="A148" s="87"/>
    </row>
    <row r="149">
      <c r="A149" s="87"/>
    </row>
    <row r="150">
      <c r="A150" s="87"/>
    </row>
    <row r="151">
      <c r="A151" s="87"/>
    </row>
    <row r="152">
      <c r="A152" s="87"/>
    </row>
    <row r="153">
      <c r="A153" s="87"/>
    </row>
    <row r="154">
      <c r="A154" s="87"/>
    </row>
    <row r="155">
      <c r="A155" s="87"/>
    </row>
    <row r="156">
      <c r="A156" s="87"/>
    </row>
    <row r="157">
      <c r="A157" s="87"/>
    </row>
    <row r="158">
      <c r="A158" s="87"/>
    </row>
    <row r="159">
      <c r="A159" s="87"/>
    </row>
    <row r="160">
      <c r="A160" s="87"/>
    </row>
    <row r="161">
      <c r="A161" s="87"/>
    </row>
    <row r="162">
      <c r="A162" s="87"/>
    </row>
    <row r="163">
      <c r="A163" s="87"/>
    </row>
    <row r="164">
      <c r="A164" s="87"/>
    </row>
    <row r="165">
      <c r="A165" s="87"/>
    </row>
    <row r="166">
      <c r="A166" s="87"/>
    </row>
    <row r="167">
      <c r="A167" s="87"/>
    </row>
    <row r="168">
      <c r="A168" s="87"/>
    </row>
    <row r="169">
      <c r="A169" s="87"/>
    </row>
    <row r="170">
      <c r="A170" s="87"/>
    </row>
    <row r="171">
      <c r="A171" s="87"/>
    </row>
    <row r="172">
      <c r="A172" s="87"/>
    </row>
    <row r="173">
      <c r="A173" s="87"/>
    </row>
    <row r="174">
      <c r="A174" s="87"/>
    </row>
    <row r="175">
      <c r="A175" s="87"/>
    </row>
    <row r="176">
      <c r="A176" s="87"/>
    </row>
    <row r="177">
      <c r="A177" s="87"/>
    </row>
    <row r="178">
      <c r="A178" s="87"/>
    </row>
    <row r="179">
      <c r="A179" s="87"/>
    </row>
    <row r="180">
      <c r="A180" s="87"/>
    </row>
    <row r="181">
      <c r="A181" s="87"/>
    </row>
    <row r="182">
      <c r="A182" s="87"/>
    </row>
    <row r="183">
      <c r="A183" s="87"/>
    </row>
    <row r="184">
      <c r="A184" s="87"/>
    </row>
    <row r="185">
      <c r="A185" s="87"/>
    </row>
    <row r="186">
      <c r="A186" s="87"/>
    </row>
    <row r="187">
      <c r="A187" s="87"/>
    </row>
    <row r="188">
      <c r="A188" s="87"/>
    </row>
    <row r="189">
      <c r="A189" s="87"/>
    </row>
    <row r="190">
      <c r="A190" s="87"/>
    </row>
    <row r="191">
      <c r="A191" s="87"/>
    </row>
    <row r="192">
      <c r="A192" s="87"/>
    </row>
    <row r="193">
      <c r="A193" s="87"/>
    </row>
    <row r="194">
      <c r="A194" s="87"/>
    </row>
    <row r="195">
      <c r="A195" s="87"/>
    </row>
    <row r="196">
      <c r="A196" s="87"/>
    </row>
    <row r="197">
      <c r="A197" s="87"/>
    </row>
    <row r="198">
      <c r="A198" s="87"/>
    </row>
    <row r="199">
      <c r="A199" s="87"/>
    </row>
    <row r="200">
      <c r="A200" s="87"/>
    </row>
    <row r="201">
      <c r="A201" s="87"/>
    </row>
    <row r="202">
      <c r="A202" s="87"/>
    </row>
    <row r="203">
      <c r="A203" s="87"/>
    </row>
    <row r="204">
      <c r="A204" s="87"/>
    </row>
    <row r="205">
      <c r="A205" s="87"/>
    </row>
    <row r="206">
      <c r="A206" s="87"/>
    </row>
    <row r="207">
      <c r="A207" s="87"/>
    </row>
    <row r="208">
      <c r="A208" s="87"/>
    </row>
    <row r="209">
      <c r="A209" s="87"/>
    </row>
    <row r="210">
      <c r="A210" s="87"/>
    </row>
    <row r="211">
      <c r="A211" s="87"/>
    </row>
    <row r="212">
      <c r="A212" s="87"/>
    </row>
    <row r="213">
      <c r="A213" s="87"/>
    </row>
    <row r="214">
      <c r="A214" s="87"/>
    </row>
    <row r="215">
      <c r="A215" s="87"/>
    </row>
    <row r="216">
      <c r="A216" s="87"/>
    </row>
    <row r="217">
      <c r="A217" s="87"/>
    </row>
    <row r="218">
      <c r="A218" s="87"/>
    </row>
    <row r="219">
      <c r="A219" s="87"/>
    </row>
    <row r="220">
      <c r="A220" s="87"/>
    </row>
    <row r="221">
      <c r="A221" s="87"/>
    </row>
    <row r="222">
      <c r="A222" s="87"/>
    </row>
    <row r="223">
      <c r="A223" s="87"/>
    </row>
    <row r="224">
      <c r="A224" s="87"/>
    </row>
    <row r="225">
      <c r="A225" s="87"/>
    </row>
    <row r="226">
      <c r="A226" s="87"/>
    </row>
    <row r="227">
      <c r="A227" s="87"/>
    </row>
    <row r="228">
      <c r="A228" s="87"/>
    </row>
    <row r="229">
      <c r="A229" s="87"/>
    </row>
    <row r="230">
      <c r="A230" s="87"/>
    </row>
    <row r="231">
      <c r="A231" s="87"/>
    </row>
    <row r="232">
      <c r="A232" s="87"/>
    </row>
    <row r="233">
      <c r="A233" s="87"/>
    </row>
    <row r="234">
      <c r="A234" s="87"/>
    </row>
    <row r="235">
      <c r="A235" s="87"/>
    </row>
    <row r="236">
      <c r="A236" s="87"/>
    </row>
    <row r="237">
      <c r="A237" s="87"/>
    </row>
    <row r="238">
      <c r="A238" s="87"/>
    </row>
    <row r="239">
      <c r="A239" s="87"/>
    </row>
    <row r="240">
      <c r="A240" s="87"/>
    </row>
    <row r="241">
      <c r="A241" s="87"/>
    </row>
    <row r="242">
      <c r="A242" s="87"/>
    </row>
    <row r="243">
      <c r="A243" s="87"/>
    </row>
    <row r="244">
      <c r="A244" s="87"/>
    </row>
    <row r="245">
      <c r="A245" s="87"/>
    </row>
    <row r="246">
      <c r="A246" s="87"/>
    </row>
    <row r="247">
      <c r="A247" s="87"/>
    </row>
    <row r="248">
      <c r="A248" s="87"/>
    </row>
    <row r="249">
      <c r="A249" s="87"/>
    </row>
    <row r="250">
      <c r="A250" s="87"/>
    </row>
    <row r="251">
      <c r="A251" s="87"/>
    </row>
    <row r="252">
      <c r="A252" s="87"/>
    </row>
    <row r="253">
      <c r="A253" s="87"/>
    </row>
    <row r="254">
      <c r="A254" s="87"/>
    </row>
    <row r="255">
      <c r="A255" s="87"/>
    </row>
    <row r="256">
      <c r="A256" s="87"/>
    </row>
    <row r="257">
      <c r="A257" s="87"/>
    </row>
    <row r="258">
      <c r="A258" s="87"/>
    </row>
    <row r="259">
      <c r="A259" s="87"/>
    </row>
    <row r="260">
      <c r="A260" s="87"/>
    </row>
    <row r="261">
      <c r="A261" s="87"/>
    </row>
    <row r="262">
      <c r="A262" s="87"/>
    </row>
    <row r="263">
      <c r="A263" s="87"/>
    </row>
    <row r="264">
      <c r="A264" s="87"/>
    </row>
    <row r="265">
      <c r="A265" s="87"/>
    </row>
    <row r="266">
      <c r="A266" s="87"/>
    </row>
    <row r="267">
      <c r="A267" s="87"/>
    </row>
    <row r="268">
      <c r="A268" s="87"/>
    </row>
    <row r="269">
      <c r="A269" s="87"/>
    </row>
    <row r="270">
      <c r="A270" s="87"/>
    </row>
    <row r="271">
      <c r="A271" s="87"/>
    </row>
    <row r="272">
      <c r="A272" s="87"/>
    </row>
    <row r="273">
      <c r="A273" s="87"/>
    </row>
    <row r="274">
      <c r="A274" s="87"/>
    </row>
    <row r="275">
      <c r="A275" s="87"/>
    </row>
    <row r="276">
      <c r="A276" s="87"/>
    </row>
    <row r="277">
      <c r="A277" s="87"/>
    </row>
    <row r="278">
      <c r="A278" s="87"/>
    </row>
    <row r="279">
      <c r="A279" s="87"/>
    </row>
    <row r="280">
      <c r="A280" s="87"/>
    </row>
    <row r="281">
      <c r="A281" s="87"/>
    </row>
    <row r="282">
      <c r="A282" s="87"/>
    </row>
    <row r="283">
      <c r="A283" s="87"/>
    </row>
    <row r="284">
      <c r="A284" s="87"/>
    </row>
    <row r="285">
      <c r="A285" s="87"/>
    </row>
    <row r="286">
      <c r="A286" s="87"/>
    </row>
    <row r="287">
      <c r="A287" s="87"/>
    </row>
    <row r="288">
      <c r="A288" s="87"/>
    </row>
    <row r="289">
      <c r="A289" s="87"/>
    </row>
    <row r="290">
      <c r="A290" s="87"/>
    </row>
    <row r="291">
      <c r="A291" s="87"/>
    </row>
    <row r="292">
      <c r="A292" s="87"/>
    </row>
    <row r="293">
      <c r="A293" s="87"/>
    </row>
    <row r="294">
      <c r="A294" s="87"/>
    </row>
    <row r="295">
      <c r="A295" s="87"/>
    </row>
    <row r="296">
      <c r="A296" s="87"/>
    </row>
    <row r="297">
      <c r="A297" s="87"/>
    </row>
    <row r="298">
      <c r="A298" s="87"/>
    </row>
    <row r="299">
      <c r="A299" s="87"/>
    </row>
    <row r="300">
      <c r="A300" s="87"/>
    </row>
    <row r="301">
      <c r="A301" s="87"/>
    </row>
    <row r="302">
      <c r="A302" s="87"/>
    </row>
    <row r="303">
      <c r="A303" s="87"/>
    </row>
    <row r="304">
      <c r="A304" s="87"/>
    </row>
    <row r="305">
      <c r="A305" s="87"/>
    </row>
    <row r="306">
      <c r="A306" s="87"/>
    </row>
    <row r="307">
      <c r="A307" s="87"/>
    </row>
    <row r="308">
      <c r="A308" s="87"/>
    </row>
    <row r="309">
      <c r="A309" s="87"/>
    </row>
    <row r="310">
      <c r="A310" s="87"/>
    </row>
    <row r="311">
      <c r="A311" s="87"/>
    </row>
    <row r="312">
      <c r="A312" s="87"/>
    </row>
    <row r="313">
      <c r="A313" s="87"/>
    </row>
    <row r="314">
      <c r="A314" s="87"/>
    </row>
    <row r="315">
      <c r="A315" s="87"/>
    </row>
    <row r="316">
      <c r="A316" s="87"/>
    </row>
    <row r="317">
      <c r="A317" s="87"/>
    </row>
    <row r="318">
      <c r="A318" s="87"/>
    </row>
    <row r="319">
      <c r="A319" s="87"/>
    </row>
    <row r="320">
      <c r="A320" s="87"/>
    </row>
    <row r="321">
      <c r="A321" s="87"/>
    </row>
    <row r="322">
      <c r="A322" s="87"/>
    </row>
    <row r="323">
      <c r="A323" s="87"/>
    </row>
    <row r="324">
      <c r="A324" s="87"/>
    </row>
    <row r="325">
      <c r="A325" s="87"/>
    </row>
    <row r="326">
      <c r="A326" s="87"/>
    </row>
    <row r="327">
      <c r="A327" s="87"/>
    </row>
    <row r="328">
      <c r="A328" s="87"/>
    </row>
    <row r="329">
      <c r="A329" s="87"/>
    </row>
    <row r="330">
      <c r="A330" s="87"/>
    </row>
    <row r="331">
      <c r="A331" s="87"/>
    </row>
    <row r="332">
      <c r="A332" s="87"/>
    </row>
    <row r="333">
      <c r="A333" s="87"/>
    </row>
    <row r="334">
      <c r="A334" s="87"/>
    </row>
    <row r="335">
      <c r="A335" s="87"/>
    </row>
    <row r="336">
      <c r="A336" s="87"/>
    </row>
    <row r="337">
      <c r="A337" s="87"/>
    </row>
    <row r="338">
      <c r="A338" s="87"/>
    </row>
    <row r="339">
      <c r="A339" s="87"/>
    </row>
    <row r="340">
      <c r="A340" s="87"/>
    </row>
    <row r="341">
      <c r="A341" s="87"/>
    </row>
    <row r="342">
      <c r="A342" s="87"/>
    </row>
    <row r="343">
      <c r="A343" s="87"/>
    </row>
    <row r="344">
      <c r="A344" s="87"/>
    </row>
    <row r="345">
      <c r="A345" s="87"/>
    </row>
    <row r="346">
      <c r="A346" s="87"/>
    </row>
    <row r="347">
      <c r="A347" s="87"/>
    </row>
    <row r="348">
      <c r="A348" s="87"/>
    </row>
    <row r="349">
      <c r="A349" s="87"/>
    </row>
    <row r="350">
      <c r="A350" s="87"/>
    </row>
    <row r="351">
      <c r="A351" s="87"/>
    </row>
    <row r="352">
      <c r="A352" s="87"/>
    </row>
    <row r="353">
      <c r="A353" s="87"/>
    </row>
    <row r="354">
      <c r="A354" s="87"/>
    </row>
    <row r="355">
      <c r="A355" s="87"/>
    </row>
    <row r="356">
      <c r="A356" s="87"/>
    </row>
    <row r="357">
      <c r="A357" s="87"/>
    </row>
    <row r="358">
      <c r="A358" s="87"/>
    </row>
    <row r="359">
      <c r="A359" s="87"/>
    </row>
    <row r="360">
      <c r="A360" s="87"/>
    </row>
    <row r="361">
      <c r="A361" s="87"/>
    </row>
    <row r="362">
      <c r="A362" s="87"/>
    </row>
    <row r="363">
      <c r="A363" s="87"/>
    </row>
    <row r="364">
      <c r="A364" s="87"/>
    </row>
    <row r="365">
      <c r="A365" s="87"/>
    </row>
    <row r="366">
      <c r="A366" s="87"/>
    </row>
    <row r="367">
      <c r="A367" s="87"/>
    </row>
    <row r="368">
      <c r="A368" s="87"/>
    </row>
    <row r="369">
      <c r="A369" s="87"/>
    </row>
    <row r="370">
      <c r="A370" s="87"/>
    </row>
    <row r="371">
      <c r="A371" s="87"/>
    </row>
    <row r="372">
      <c r="A372" s="87"/>
    </row>
    <row r="373">
      <c r="A373" s="87"/>
    </row>
    <row r="374">
      <c r="A374" s="87"/>
    </row>
    <row r="375">
      <c r="A375" s="87"/>
    </row>
    <row r="376">
      <c r="A376" s="87"/>
    </row>
    <row r="377">
      <c r="A377" s="87"/>
    </row>
    <row r="378">
      <c r="A378" s="87"/>
    </row>
    <row r="379">
      <c r="A379" s="87"/>
    </row>
    <row r="380">
      <c r="A380" s="87"/>
    </row>
    <row r="381">
      <c r="A381" s="87"/>
    </row>
    <row r="382">
      <c r="A382" s="87"/>
    </row>
    <row r="383">
      <c r="A383" s="87"/>
    </row>
    <row r="384">
      <c r="A384" s="87"/>
    </row>
    <row r="385">
      <c r="A385" s="87"/>
    </row>
    <row r="386">
      <c r="A386" s="87"/>
    </row>
    <row r="387">
      <c r="A387" s="87"/>
    </row>
    <row r="388">
      <c r="A388" s="87"/>
    </row>
    <row r="389">
      <c r="A389" s="87"/>
    </row>
    <row r="390">
      <c r="A390" s="87"/>
    </row>
    <row r="391">
      <c r="A391" s="87"/>
    </row>
    <row r="392">
      <c r="A392" s="87"/>
    </row>
    <row r="393">
      <c r="A393" s="87"/>
    </row>
    <row r="394">
      <c r="A394" s="87"/>
    </row>
    <row r="395">
      <c r="A395" s="87"/>
    </row>
    <row r="396">
      <c r="A396" s="87"/>
    </row>
    <row r="397">
      <c r="A397" s="87"/>
    </row>
    <row r="398">
      <c r="A398" s="87"/>
    </row>
    <row r="399">
      <c r="A399" s="87"/>
    </row>
    <row r="400">
      <c r="A400" s="87"/>
    </row>
    <row r="401">
      <c r="A401" s="87"/>
    </row>
    <row r="402">
      <c r="A402" s="87"/>
    </row>
    <row r="403">
      <c r="A403" s="87"/>
    </row>
    <row r="404">
      <c r="A404" s="87"/>
    </row>
    <row r="405">
      <c r="A405" s="87"/>
    </row>
    <row r="406">
      <c r="A406" s="87"/>
    </row>
    <row r="407">
      <c r="A407" s="87"/>
    </row>
    <row r="408">
      <c r="A408" s="87"/>
    </row>
    <row r="409">
      <c r="A409" s="87"/>
    </row>
    <row r="410">
      <c r="A410" s="87"/>
    </row>
    <row r="411">
      <c r="A411" s="87"/>
    </row>
    <row r="412">
      <c r="A412" s="87"/>
    </row>
    <row r="413">
      <c r="A413" s="87"/>
    </row>
    <row r="414">
      <c r="A414" s="87"/>
    </row>
    <row r="415">
      <c r="A415" s="87"/>
    </row>
    <row r="416">
      <c r="A416" s="87"/>
    </row>
    <row r="417">
      <c r="A417" s="87"/>
    </row>
    <row r="418">
      <c r="A418" s="87"/>
    </row>
    <row r="419">
      <c r="A419" s="87"/>
    </row>
    <row r="420">
      <c r="A420" s="87"/>
    </row>
    <row r="421">
      <c r="A421" s="87"/>
    </row>
    <row r="422">
      <c r="A422" s="87"/>
    </row>
    <row r="423">
      <c r="A423" s="87"/>
    </row>
    <row r="424">
      <c r="A424" s="87"/>
    </row>
    <row r="425">
      <c r="A425" s="87"/>
    </row>
    <row r="426">
      <c r="A426" s="87"/>
    </row>
    <row r="427">
      <c r="A427" s="87"/>
    </row>
    <row r="428">
      <c r="A428" s="87"/>
    </row>
    <row r="429">
      <c r="A429" s="87"/>
    </row>
    <row r="430">
      <c r="A430" s="87"/>
    </row>
    <row r="431">
      <c r="A431" s="87"/>
    </row>
    <row r="432">
      <c r="A432" s="87"/>
    </row>
    <row r="433">
      <c r="A433" s="87"/>
    </row>
    <row r="434">
      <c r="A434" s="87"/>
    </row>
    <row r="435">
      <c r="A435" s="87"/>
    </row>
    <row r="436">
      <c r="A436" s="87"/>
    </row>
    <row r="437">
      <c r="A437" s="87"/>
    </row>
    <row r="438">
      <c r="A438" s="87"/>
    </row>
    <row r="439">
      <c r="A439" s="87"/>
    </row>
    <row r="440">
      <c r="A440" s="87"/>
    </row>
    <row r="441">
      <c r="A441" s="87"/>
    </row>
    <row r="442">
      <c r="A442" s="87"/>
    </row>
    <row r="443">
      <c r="A443" s="87"/>
    </row>
    <row r="444">
      <c r="A444" s="87"/>
    </row>
    <row r="445">
      <c r="A445" s="87"/>
    </row>
    <row r="446">
      <c r="A446" s="87"/>
    </row>
    <row r="447">
      <c r="A447" s="87"/>
    </row>
    <row r="448">
      <c r="A448" s="87"/>
    </row>
    <row r="449">
      <c r="A449" s="87"/>
    </row>
    <row r="450">
      <c r="A450" s="87"/>
    </row>
    <row r="451">
      <c r="A451" s="87"/>
    </row>
    <row r="452">
      <c r="A452" s="87"/>
    </row>
    <row r="453">
      <c r="A453" s="87"/>
    </row>
    <row r="454">
      <c r="A454" s="87"/>
    </row>
    <row r="455">
      <c r="A455" s="87"/>
    </row>
    <row r="456">
      <c r="A456" s="87"/>
    </row>
    <row r="457">
      <c r="A457" s="87"/>
    </row>
    <row r="458">
      <c r="A458" s="87"/>
    </row>
    <row r="459">
      <c r="A459" s="87"/>
    </row>
    <row r="460">
      <c r="A460" s="87"/>
    </row>
    <row r="461">
      <c r="A461" s="87"/>
    </row>
    <row r="462">
      <c r="A462" s="87"/>
    </row>
    <row r="463">
      <c r="A463" s="87"/>
    </row>
    <row r="464">
      <c r="A464" s="87"/>
    </row>
    <row r="465">
      <c r="A465" s="87"/>
    </row>
    <row r="466">
      <c r="A466" s="87"/>
    </row>
    <row r="467">
      <c r="A467" s="87"/>
    </row>
    <row r="468">
      <c r="A468" s="87"/>
    </row>
    <row r="469">
      <c r="A469" s="87"/>
    </row>
    <row r="470">
      <c r="A470" s="87"/>
    </row>
    <row r="471">
      <c r="A471" s="87"/>
    </row>
    <row r="472">
      <c r="A472" s="87"/>
    </row>
    <row r="473">
      <c r="A473" s="87"/>
    </row>
    <row r="474">
      <c r="A474" s="87"/>
    </row>
    <row r="475">
      <c r="A475" s="87"/>
    </row>
    <row r="476">
      <c r="A476" s="87"/>
    </row>
    <row r="477">
      <c r="A477" s="87"/>
    </row>
    <row r="478">
      <c r="A478" s="87"/>
    </row>
    <row r="479">
      <c r="A479" s="87"/>
    </row>
    <row r="480">
      <c r="A480" s="87"/>
    </row>
    <row r="481">
      <c r="A481" s="87"/>
    </row>
    <row r="482">
      <c r="A482" s="87"/>
    </row>
    <row r="483">
      <c r="A483" s="87"/>
    </row>
    <row r="484">
      <c r="A484" s="87"/>
    </row>
    <row r="485">
      <c r="A485" s="87"/>
    </row>
    <row r="486">
      <c r="A486" s="87"/>
    </row>
    <row r="487">
      <c r="A487" s="87"/>
    </row>
    <row r="488">
      <c r="A488" s="87"/>
    </row>
    <row r="489">
      <c r="A489" s="87"/>
    </row>
    <row r="490">
      <c r="A490" s="87"/>
    </row>
    <row r="491">
      <c r="A491" s="87"/>
    </row>
    <row r="492">
      <c r="A492" s="87"/>
    </row>
    <row r="493">
      <c r="A493" s="87"/>
    </row>
    <row r="494">
      <c r="A494" s="87"/>
    </row>
    <row r="495">
      <c r="A495" s="87"/>
    </row>
    <row r="496">
      <c r="A496" s="87"/>
    </row>
    <row r="497">
      <c r="A497" s="87"/>
    </row>
    <row r="498">
      <c r="A498" s="87"/>
    </row>
    <row r="499">
      <c r="A499" s="87"/>
    </row>
    <row r="500">
      <c r="A500" s="87"/>
    </row>
    <row r="501">
      <c r="A501" s="87"/>
    </row>
    <row r="502">
      <c r="A502" s="87"/>
    </row>
    <row r="503">
      <c r="A503" s="87"/>
    </row>
    <row r="504">
      <c r="A504" s="87"/>
    </row>
    <row r="505">
      <c r="A505" s="87"/>
    </row>
    <row r="506">
      <c r="A506" s="87"/>
    </row>
    <row r="507">
      <c r="A507" s="87"/>
    </row>
    <row r="508">
      <c r="A508" s="87"/>
    </row>
    <row r="509">
      <c r="A509" s="87"/>
    </row>
    <row r="510">
      <c r="A510" s="87"/>
    </row>
    <row r="511">
      <c r="A511" s="87"/>
    </row>
    <row r="512">
      <c r="A512" s="87"/>
    </row>
    <row r="513">
      <c r="A513" s="87"/>
    </row>
    <row r="514">
      <c r="A514" s="87"/>
    </row>
    <row r="515">
      <c r="A515" s="87"/>
    </row>
    <row r="516">
      <c r="A516" s="87"/>
    </row>
    <row r="517">
      <c r="A517" s="87"/>
    </row>
    <row r="518">
      <c r="A518" s="87"/>
    </row>
    <row r="519">
      <c r="A519" s="87"/>
    </row>
    <row r="520">
      <c r="A520" s="87"/>
    </row>
    <row r="521">
      <c r="A521" s="87"/>
    </row>
    <row r="522">
      <c r="A522" s="87"/>
    </row>
    <row r="523">
      <c r="A523" s="87"/>
    </row>
    <row r="524">
      <c r="A524" s="87"/>
    </row>
    <row r="525">
      <c r="A525" s="87"/>
    </row>
    <row r="526">
      <c r="A526" s="87"/>
    </row>
    <row r="527">
      <c r="A527" s="87"/>
    </row>
    <row r="528">
      <c r="A528" s="87"/>
    </row>
    <row r="529">
      <c r="A529" s="87"/>
    </row>
    <row r="530">
      <c r="A530" s="87"/>
    </row>
    <row r="531">
      <c r="A531" s="87"/>
    </row>
    <row r="532">
      <c r="A532" s="87"/>
    </row>
    <row r="533">
      <c r="A533" s="87"/>
    </row>
    <row r="534">
      <c r="A534" s="87"/>
    </row>
    <row r="535">
      <c r="A535" s="87"/>
    </row>
    <row r="536">
      <c r="A536" s="87"/>
    </row>
    <row r="537">
      <c r="A537" s="87"/>
    </row>
    <row r="538">
      <c r="A538" s="87"/>
    </row>
    <row r="539">
      <c r="A539" s="87"/>
    </row>
    <row r="540">
      <c r="A540" s="87"/>
    </row>
    <row r="541">
      <c r="A541" s="87"/>
    </row>
    <row r="542">
      <c r="A542" s="87"/>
    </row>
    <row r="543">
      <c r="A543" s="87"/>
    </row>
    <row r="544">
      <c r="A544" s="87"/>
    </row>
    <row r="545">
      <c r="A545" s="87"/>
    </row>
    <row r="546">
      <c r="A546" s="87"/>
    </row>
    <row r="547">
      <c r="A547" s="87"/>
    </row>
    <row r="548">
      <c r="A548" s="87"/>
    </row>
    <row r="549">
      <c r="A549" s="87"/>
    </row>
    <row r="550">
      <c r="A550" s="87"/>
    </row>
    <row r="551">
      <c r="A551" s="87"/>
    </row>
    <row r="552">
      <c r="A552" s="87"/>
    </row>
    <row r="553">
      <c r="A553" s="87"/>
    </row>
    <row r="554">
      <c r="A554" s="87"/>
    </row>
    <row r="555">
      <c r="A555" s="87"/>
    </row>
    <row r="556">
      <c r="A556" s="87"/>
    </row>
    <row r="557">
      <c r="A557" s="87"/>
    </row>
    <row r="558">
      <c r="A558" s="87"/>
    </row>
    <row r="559">
      <c r="A559" s="87"/>
    </row>
    <row r="560">
      <c r="A560" s="87"/>
    </row>
    <row r="561">
      <c r="A561" s="87"/>
    </row>
    <row r="562">
      <c r="A562" s="87"/>
    </row>
    <row r="563">
      <c r="A563" s="87"/>
    </row>
    <row r="564">
      <c r="A564" s="87"/>
    </row>
    <row r="565">
      <c r="A565" s="87"/>
    </row>
    <row r="566">
      <c r="A566" s="87"/>
    </row>
    <row r="567">
      <c r="A567" s="87"/>
    </row>
    <row r="568">
      <c r="A568" s="87"/>
    </row>
    <row r="569">
      <c r="A569" s="87"/>
    </row>
    <row r="570">
      <c r="A570" s="87"/>
    </row>
    <row r="571">
      <c r="A571" s="87"/>
    </row>
    <row r="572">
      <c r="A572" s="87"/>
    </row>
    <row r="573">
      <c r="A573" s="87"/>
    </row>
    <row r="574">
      <c r="A574" s="87"/>
    </row>
    <row r="575">
      <c r="A575" s="87"/>
    </row>
    <row r="576">
      <c r="A576" s="87"/>
    </row>
    <row r="577">
      <c r="A577" s="87"/>
    </row>
    <row r="578">
      <c r="A578" s="87"/>
    </row>
    <row r="579">
      <c r="A579" s="87"/>
    </row>
    <row r="580">
      <c r="A580" s="87"/>
    </row>
    <row r="581">
      <c r="A581" s="87"/>
    </row>
    <row r="582">
      <c r="A582" s="87"/>
    </row>
    <row r="583">
      <c r="A583" s="87"/>
    </row>
    <row r="584">
      <c r="A584" s="87"/>
    </row>
    <row r="585">
      <c r="A585" s="87"/>
    </row>
    <row r="586">
      <c r="A586" s="87"/>
    </row>
    <row r="587">
      <c r="A587" s="87"/>
    </row>
    <row r="588">
      <c r="A588" s="87"/>
    </row>
    <row r="589">
      <c r="A589" s="87"/>
    </row>
    <row r="590">
      <c r="A590" s="87"/>
    </row>
    <row r="591">
      <c r="A591" s="87"/>
    </row>
    <row r="592">
      <c r="A592" s="87"/>
    </row>
    <row r="593">
      <c r="A593" s="87"/>
    </row>
    <row r="594">
      <c r="A594" s="87"/>
    </row>
    <row r="595">
      <c r="A595" s="87"/>
    </row>
    <row r="596">
      <c r="A596" s="87"/>
    </row>
    <row r="597">
      <c r="A597" s="87"/>
    </row>
    <row r="598">
      <c r="A598" s="87"/>
    </row>
    <row r="599">
      <c r="A599" s="87"/>
    </row>
    <row r="600">
      <c r="A600" s="87"/>
    </row>
    <row r="601">
      <c r="A601" s="87"/>
    </row>
    <row r="602">
      <c r="A602" s="87"/>
    </row>
    <row r="603">
      <c r="A603" s="87"/>
    </row>
    <row r="604">
      <c r="A604" s="87"/>
    </row>
    <row r="605">
      <c r="A605" s="87"/>
    </row>
    <row r="606">
      <c r="A606" s="87"/>
    </row>
    <row r="607">
      <c r="A607" s="87"/>
    </row>
    <row r="608">
      <c r="A608" s="87"/>
    </row>
    <row r="609">
      <c r="A609" s="87"/>
    </row>
    <row r="610">
      <c r="A610" s="87"/>
    </row>
    <row r="611">
      <c r="A611" s="87"/>
    </row>
    <row r="612">
      <c r="A612" s="87"/>
    </row>
    <row r="613">
      <c r="A613" s="87"/>
    </row>
    <row r="614">
      <c r="A614" s="87"/>
    </row>
    <row r="615">
      <c r="A615" s="87"/>
    </row>
    <row r="616">
      <c r="A616" s="87"/>
    </row>
    <row r="617">
      <c r="A617" s="87"/>
    </row>
    <row r="618">
      <c r="A618" s="87"/>
    </row>
    <row r="619">
      <c r="A619" s="87"/>
    </row>
    <row r="620">
      <c r="A620" s="87"/>
    </row>
    <row r="621">
      <c r="A621" s="87"/>
    </row>
    <row r="622">
      <c r="A622" s="87"/>
    </row>
    <row r="623">
      <c r="A623" s="87"/>
    </row>
    <row r="624">
      <c r="A624" s="87"/>
    </row>
    <row r="625">
      <c r="A625" s="87"/>
    </row>
    <row r="626">
      <c r="A626" s="87"/>
    </row>
    <row r="627">
      <c r="A627" s="87"/>
    </row>
    <row r="628">
      <c r="A628" s="87"/>
    </row>
    <row r="629">
      <c r="A629" s="87"/>
    </row>
    <row r="630">
      <c r="A630" s="87"/>
    </row>
    <row r="631">
      <c r="A631" s="87"/>
    </row>
    <row r="632">
      <c r="A632" s="87"/>
    </row>
    <row r="633">
      <c r="A633" s="87"/>
    </row>
    <row r="634">
      <c r="A634" s="87"/>
    </row>
    <row r="635">
      <c r="A635" s="87"/>
    </row>
    <row r="636">
      <c r="A636" s="87"/>
    </row>
    <row r="637">
      <c r="A637" s="87"/>
    </row>
    <row r="638">
      <c r="A638" s="87"/>
    </row>
    <row r="639">
      <c r="A639" s="87"/>
    </row>
    <row r="640">
      <c r="A640" s="87"/>
    </row>
    <row r="641">
      <c r="A641" s="87"/>
    </row>
    <row r="642">
      <c r="A642" s="87"/>
    </row>
    <row r="643">
      <c r="A643" s="87"/>
    </row>
    <row r="644">
      <c r="A644" s="87"/>
    </row>
    <row r="645">
      <c r="A645" s="87"/>
    </row>
    <row r="646">
      <c r="A646" s="87"/>
    </row>
    <row r="647">
      <c r="A647" s="87"/>
    </row>
    <row r="648">
      <c r="A648" s="87"/>
    </row>
    <row r="649">
      <c r="A649" s="87"/>
    </row>
    <row r="650">
      <c r="A650" s="87"/>
    </row>
    <row r="651">
      <c r="A651" s="87"/>
    </row>
    <row r="652">
      <c r="A652" s="87"/>
    </row>
    <row r="653">
      <c r="A653" s="87"/>
    </row>
    <row r="654">
      <c r="A654" s="87"/>
    </row>
    <row r="655">
      <c r="A655" s="87"/>
    </row>
    <row r="656">
      <c r="A656" s="87"/>
    </row>
    <row r="657">
      <c r="A657" s="87"/>
    </row>
    <row r="658">
      <c r="A658" s="87"/>
    </row>
    <row r="659">
      <c r="A659" s="87"/>
    </row>
    <row r="660">
      <c r="A660" s="87"/>
    </row>
    <row r="661">
      <c r="A661" s="87"/>
    </row>
    <row r="662">
      <c r="A662" s="87"/>
    </row>
    <row r="663">
      <c r="A663" s="87"/>
    </row>
    <row r="664">
      <c r="A664" s="87"/>
    </row>
    <row r="665">
      <c r="A665" s="87"/>
    </row>
    <row r="666">
      <c r="A666" s="87"/>
    </row>
    <row r="667">
      <c r="A667" s="87"/>
    </row>
    <row r="668">
      <c r="A668" s="87"/>
    </row>
    <row r="669">
      <c r="A669" s="87"/>
    </row>
    <row r="670">
      <c r="A670" s="87"/>
    </row>
    <row r="671">
      <c r="A671" s="87"/>
    </row>
    <row r="672">
      <c r="A672" s="87"/>
    </row>
    <row r="673">
      <c r="A673" s="87"/>
    </row>
    <row r="674">
      <c r="A674" s="87"/>
    </row>
    <row r="675">
      <c r="A675" s="87"/>
    </row>
    <row r="676">
      <c r="A676" s="87"/>
    </row>
    <row r="677">
      <c r="A677" s="87"/>
    </row>
    <row r="678">
      <c r="A678" s="87"/>
    </row>
    <row r="679">
      <c r="A679" s="87"/>
    </row>
    <row r="680">
      <c r="A680" s="87"/>
    </row>
    <row r="681">
      <c r="A681" s="87"/>
    </row>
    <row r="682">
      <c r="A682" s="87"/>
    </row>
    <row r="683">
      <c r="A683" s="87"/>
    </row>
    <row r="684">
      <c r="A684" s="87"/>
    </row>
    <row r="685">
      <c r="A685" s="87"/>
    </row>
    <row r="686">
      <c r="A686" s="87"/>
    </row>
    <row r="687">
      <c r="A687" s="87"/>
    </row>
    <row r="688">
      <c r="A688" s="87"/>
    </row>
    <row r="689">
      <c r="A689" s="87"/>
    </row>
    <row r="690">
      <c r="A690" s="87"/>
    </row>
    <row r="691">
      <c r="A691" s="87"/>
    </row>
    <row r="692">
      <c r="A692" s="87"/>
    </row>
    <row r="693">
      <c r="A693" s="87"/>
    </row>
    <row r="694">
      <c r="A694" s="87"/>
    </row>
    <row r="695">
      <c r="A695" s="87"/>
    </row>
    <row r="696">
      <c r="A696" s="87"/>
    </row>
    <row r="697">
      <c r="A697" s="87"/>
    </row>
    <row r="698">
      <c r="A698" s="87"/>
    </row>
    <row r="699">
      <c r="A699" s="87"/>
    </row>
    <row r="700">
      <c r="A700" s="87"/>
    </row>
    <row r="701">
      <c r="A701" s="87"/>
    </row>
    <row r="702">
      <c r="A702" s="87"/>
    </row>
    <row r="703">
      <c r="A703" s="87"/>
    </row>
    <row r="704">
      <c r="A704" s="87"/>
    </row>
    <row r="705">
      <c r="A705" s="87"/>
    </row>
    <row r="706">
      <c r="A706" s="87"/>
    </row>
    <row r="707">
      <c r="A707" s="87"/>
    </row>
    <row r="708">
      <c r="A708" s="87"/>
    </row>
    <row r="709">
      <c r="A709" s="87"/>
    </row>
    <row r="710">
      <c r="A710" s="87"/>
    </row>
    <row r="711">
      <c r="A711" s="87"/>
    </row>
    <row r="712">
      <c r="A712" s="87"/>
    </row>
    <row r="713">
      <c r="A713" s="87"/>
    </row>
    <row r="714">
      <c r="A714" s="87"/>
    </row>
    <row r="715">
      <c r="A715" s="87"/>
    </row>
    <row r="716">
      <c r="A716" s="87"/>
    </row>
    <row r="717">
      <c r="A717" s="87"/>
    </row>
    <row r="718">
      <c r="A718" s="87"/>
    </row>
    <row r="719">
      <c r="A719" s="87"/>
    </row>
    <row r="720">
      <c r="A720" s="87"/>
    </row>
    <row r="721">
      <c r="A721" s="87"/>
    </row>
    <row r="722">
      <c r="A722" s="87"/>
    </row>
    <row r="723">
      <c r="A723" s="87"/>
    </row>
    <row r="724">
      <c r="A724" s="87"/>
    </row>
    <row r="725">
      <c r="A725" s="87"/>
    </row>
    <row r="726">
      <c r="A726" s="87"/>
    </row>
    <row r="727">
      <c r="A727" s="87"/>
    </row>
    <row r="728">
      <c r="A728" s="87"/>
    </row>
    <row r="729">
      <c r="A729" s="87"/>
    </row>
    <row r="730">
      <c r="A730" s="87"/>
    </row>
    <row r="731">
      <c r="A731" s="87"/>
    </row>
    <row r="732">
      <c r="A732" s="87"/>
    </row>
    <row r="733">
      <c r="A733" s="87"/>
    </row>
    <row r="734">
      <c r="A734" s="87"/>
    </row>
    <row r="735">
      <c r="A735" s="87"/>
    </row>
    <row r="736">
      <c r="A736" s="87"/>
    </row>
    <row r="737">
      <c r="A737" s="87"/>
    </row>
    <row r="738">
      <c r="A738" s="87"/>
    </row>
    <row r="739">
      <c r="A739" s="87"/>
    </row>
    <row r="740">
      <c r="A740" s="87"/>
    </row>
    <row r="741">
      <c r="A741" s="87"/>
    </row>
    <row r="742">
      <c r="A742" s="87"/>
    </row>
    <row r="743">
      <c r="A743" s="87"/>
    </row>
    <row r="744">
      <c r="A744" s="87"/>
    </row>
    <row r="745">
      <c r="A745" s="87"/>
    </row>
    <row r="746">
      <c r="A746" s="87"/>
    </row>
    <row r="747">
      <c r="A747" s="87"/>
    </row>
    <row r="748">
      <c r="A748" s="87"/>
    </row>
    <row r="749">
      <c r="A749" s="87"/>
    </row>
    <row r="750">
      <c r="A750" s="87"/>
    </row>
    <row r="751">
      <c r="A751" s="87"/>
    </row>
    <row r="752">
      <c r="A752" s="87"/>
    </row>
    <row r="753">
      <c r="A753" s="87"/>
    </row>
    <row r="754">
      <c r="A754" s="87"/>
    </row>
    <row r="755">
      <c r="A755" s="87"/>
    </row>
    <row r="756">
      <c r="A756" s="87"/>
    </row>
    <row r="757">
      <c r="A757" s="87"/>
    </row>
    <row r="758">
      <c r="A758" s="87"/>
    </row>
    <row r="759">
      <c r="A759" s="87"/>
    </row>
    <row r="760">
      <c r="A760" s="87"/>
    </row>
    <row r="761">
      <c r="A761" s="87"/>
    </row>
    <row r="762">
      <c r="A762" s="87"/>
    </row>
    <row r="763">
      <c r="A763" s="87"/>
    </row>
    <row r="764">
      <c r="A764" s="87"/>
    </row>
    <row r="765">
      <c r="A765" s="87"/>
    </row>
    <row r="766">
      <c r="A766" s="87"/>
    </row>
    <row r="767">
      <c r="A767" s="87"/>
    </row>
    <row r="768">
      <c r="A768" s="87"/>
    </row>
    <row r="769">
      <c r="A769" s="87"/>
    </row>
    <row r="770">
      <c r="A770" s="87"/>
    </row>
    <row r="771">
      <c r="A771" s="87"/>
    </row>
    <row r="772">
      <c r="A772" s="87"/>
    </row>
    <row r="773">
      <c r="A773" s="87"/>
    </row>
    <row r="774">
      <c r="A774" s="87"/>
    </row>
    <row r="775">
      <c r="A775" s="87"/>
    </row>
    <row r="776">
      <c r="A776" s="87"/>
    </row>
    <row r="777">
      <c r="A777" s="87"/>
    </row>
    <row r="778">
      <c r="A778" s="87"/>
    </row>
    <row r="779">
      <c r="A779" s="87"/>
    </row>
    <row r="780">
      <c r="A780" s="87"/>
    </row>
    <row r="781">
      <c r="A781" s="87"/>
    </row>
    <row r="782">
      <c r="A782" s="87"/>
    </row>
    <row r="783">
      <c r="A783" s="87"/>
    </row>
    <row r="784">
      <c r="A784" s="87"/>
    </row>
    <row r="785">
      <c r="A785" s="87"/>
    </row>
    <row r="786">
      <c r="A786" s="87"/>
    </row>
    <row r="787">
      <c r="A787" s="87"/>
    </row>
    <row r="788">
      <c r="A788" s="87"/>
    </row>
    <row r="789">
      <c r="A789" s="87"/>
    </row>
    <row r="790">
      <c r="A790" s="87"/>
    </row>
    <row r="791">
      <c r="A791" s="87"/>
    </row>
    <row r="792">
      <c r="A792" s="87"/>
    </row>
    <row r="793">
      <c r="A793" s="87"/>
    </row>
    <row r="794">
      <c r="A794" s="87"/>
    </row>
    <row r="795">
      <c r="A795" s="87"/>
    </row>
    <row r="796">
      <c r="A796" s="87"/>
    </row>
    <row r="797">
      <c r="A797" s="87"/>
    </row>
    <row r="798">
      <c r="A798" s="87"/>
    </row>
    <row r="799">
      <c r="A799" s="87"/>
    </row>
    <row r="800">
      <c r="A800" s="87"/>
    </row>
    <row r="801">
      <c r="A801" s="87"/>
    </row>
    <row r="802">
      <c r="A802" s="87"/>
    </row>
    <row r="803">
      <c r="A803" s="87"/>
    </row>
    <row r="804">
      <c r="A804" s="87"/>
    </row>
    <row r="805">
      <c r="A805" s="87"/>
    </row>
    <row r="806">
      <c r="A806" s="87"/>
    </row>
    <row r="807">
      <c r="A807" s="87"/>
    </row>
    <row r="808">
      <c r="A808" s="87"/>
    </row>
    <row r="809">
      <c r="A809" s="87"/>
    </row>
    <row r="810">
      <c r="A810" s="87"/>
    </row>
    <row r="811">
      <c r="A811" s="87"/>
    </row>
    <row r="812">
      <c r="A812" s="87"/>
    </row>
    <row r="813">
      <c r="A813" s="87"/>
    </row>
    <row r="814">
      <c r="A814" s="87"/>
    </row>
    <row r="815">
      <c r="A815" s="87"/>
    </row>
    <row r="816">
      <c r="A816" s="87"/>
    </row>
    <row r="817">
      <c r="A817" s="87"/>
    </row>
    <row r="818">
      <c r="A818" s="87"/>
    </row>
    <row r="819">
      <c r="A819" s="87"/>
    </row>
    <row r="820">
      <c r="A820" s="87"/>
    </row>
    <row r="821">
      <c r="A821" s="87"/>
    </row>
    <row r="822">
      <c r="A822" s="87"/>
    </row>
    <row r="823">
      <c r="A823" s="87"/>
    </row>
    <row r="824">
      <c r="A824" s="87"/>
    </row>
    <row r="825">
      <c r="A825" s="87"/>
    </row>
    <row r="826">
      <c r="A826" s="87"/>
    </row>
    <row r="827">
      <c r="A827" s="87"/>
    </row>
    <row r="828">
      <c r="A828" s="87"/>
    </row>
    <row r="829">
      <c r="A829" s="87"/>
    </row>
    <row r="830">
      <c r="A830" s="87"/>
    </row>
    <row r="831">
      <c r="A831" s="87"/>
    </row>
    <row r="832">
      <c r="A832" s="87"/>
    </row>
    <row r="833">
      <c r="A833" s="87"/>
    </row>
    <row r="834">
      <c r="A834" s="87"/>
    </row>
    <row r="835">
      <c r="A835" s="87"/>
    </row>
    <row r="836">
      <c r="A836" s="87"/>
    </row>
    <row r="837">
      <c r="A837" s="87"/>
    </row>
    <row r="838">
      <c r="A838" s="87"/>
    </row>
    <row r="839">
      <c r="A839" s="87"/>
    </row>
    <row r="840">
      <c r="A840" s="87"/>
    </row>
    <row r="841">
      <c r="A841" s="87"/>
    </row>
    <row r="842">
      <c r="A842" s="87"/>
    </row>
    <row r="843">
      <c r="A843" s="87"/>
    </row>
    <row r="844">
      <c r="A844" s="87"/>
    </row>
    <row r="845">
      <c r="A845" s="87"/>
    </row>
    <row r="846">
      <c r="A846" s="87"/>
    </row>
    <row r="847">
      <c r="A847" s="87"/>
    </row>
    <row r="848">
      <c r="A848" s="87"/>
    </row>
    <row r="849">
      <c r="A849" s="87"/>
    </row>
    <row r="850">
      <c r="A850" s="87"/>
    </row>
    <row r="851">
      <c r="A851" s="87"/>
    </row>
    <row r="852">
      <c r="A852" s="87"/>
    </row>
    <row r="853">
      <c r="A853" s="87"/>
    </row>
    <row r="854">
      <c r="A854" s="87"/>
    </row>
    <row r="855">
      <c r="A855" s="87"/>
    </row>
    <row r="856">
      <c r="A856" s="87"/>
    </row>
    <row r="857">
      <c r="A857" s="87"/>
    </row>
    <row r="858">
      <c r="A858" s="87"/>
    </row>
    <row r="859">
      <c r="A859" s="87"/>
    </row>
    <row r="860">
      <c r="A860" s="87"/>
    </row>
    <row r="861">
      <c r="A861" s="87"/>
    </row>
    <row r="862">
      <c r="A862" s="87"/>
    </row>
    <row r="863">
      <c r="A863" s="87"/>
    </row>
    <row r="864">
      <c r="A864" s="87"/>
    </row>
    <row r="865">
      <c r="A865" s="87"/>
    </row>
    <row r="866">
      <c r="A866" s="87"/>
    </row>
    <row r="867">
      <c r="A867" s="87"/>
    </row>
    <row r="868">
      <c r="A868" s="87"/>
    </row>
    <row r="869">
      <c r="A869" s="87"/>
    </row>
    <row r="870">
      <c r="A870" s="87"/>
    </row>
    <row r="871">
      <c r="A871" s="87"/>
    </row>
    <row r="872">
      <c r="A872" s="87"/>
    </row>
    <row r="873">
      <c r="A873" s="87"/>
    </row>
    <row r="874">
      <c r="A874" s="87"/>
    </row>
    <row r="875">
      <c r="A875" s="87"/>
    </row>
    <row r="876">
      <c r="A876" s="87"/>
    </row>
    <row r="877">
      <c r="A877" s="87"/>
    </row>
    <row r="878">
      <c r="A878" s="87"/>
    </row>
    <row r="879">
      <c r="A879" s="87"/>
    </row>
    <row r="880">
      <c r="A880" s="87"/>
    </row>
    <row r="881">
      <c r="A881" s="87"/>
    </row>
    <row r="882">
      <c r="A882" s="87"/>
    </row>
    <row r="883">
      <c r="A883" s="87"/>
    </row>
    <row r="884">
      <c r="A884" s="87"/>
    </row>
    <row r="885">
      <c r="A885" s="87"/>
    </row>
    <row r="886">
      <c r="A886" s="87"/>
    </row>
    <row r="887">
      <c r="A887" s="87"/>
    </row>
    <row r="888">
      <c r="A888" s="87"/>
    </row>
    <row r="889">
      <c r="A889" s="87"/>
    </row>
    <row r="890">
      <c r="A890" s="87"/>
    </row>
    <row r="891">
      <c r="A891" s="87"/>
    </row>
    <row r="892">
      <c r="A892" s="87"/>
    </row>
    <row r="893">
      <c r="A893" s="87"/>
    </row>
    <row r="894">
      <c r="A894" s="87"/>
    </row>
    <row r="895">
      <c r="A895" s="87"/>
    </row>
    <row r="896">
      <c r="A896" s="87"/>
    </row>
    <row r="897">
      <c r="A897" s="87"/>
    </row>
    <row r="898">
      <c r="A898" s="87"/>
    </row>
    <row r="899">
      <c r="A899" s="87"/>
    </row>
    <row r="900">
      <c r="A900" s="87"/>
    </row>
    <row r="901">
      <c r="A901" s="87"/>
    </row>
    <row r="902">
      <c r="A902" s="87"/>
    </row>
    <row r="903">
      <c r="A903" s="87"/>
    </row>
    <row r="904">
      <c r="A904" s="87"/>
    </row>
    <row r="905">
      <c r="A905" s="87"/>
    </row>
    <row r="906">
      <c r="A906" s="87"/>
    </row>
    <row r="907">
      <c r="A907" s="87"/>
    </row>
    <row r="908">
      <c r="A908" s="87"/>
    </row>
    <row r="909">
      <c r="A909" s="87"/>
    </row>
    <row r="910">
      <c r="A910" s="87"/>
    </row>
    <row r="911">
      <c r="A911" s="87"/>
    </row>
    <row r="912">
      <c r="A912" s="87"/>
    </row>
    <row r="913">
      <c r="A913" s="87"/>
    </row>
    <row r="914">
      <c r="A914" s="87"/>
    </row>
    <row r="915">
      <c r="A915" s="87"/>
    </row>
    <row r="916">
      <c r="A916" s="87"/>
    </row>
    <row r="917">
      <c r="A917" s="87"/>
    </row>
    <row r="918">
      <c r="A918" s="87"/>
    </row>
    <row r="919">
      <c r="A919" s="87"/>
    </row>
    <row r="920">
      <c r="A920" s="87"/>
    </row>
    <row r="921">
      <c r="A921" s="87"/>
    </row>
    <row r="922">
      <c r="A922" s="87"/>
    </row>
  </sheetData>
  <mergeCells count="15">
    <mergeCell ref="D2:H3"/>
    <mergeCell ref="K2:K3"/>
    <mergeCell ref="A20:H20"/>
    <mergeCell ref="K20:S20"/>
    <mergeCell ref="L2:L4"/>
    <mergeCell ref="M2:M4"/>
    <mergeCell ref="N2:N4"/>
    <mergeCell ref="O2:S3"/>
    <mergeCell ref="A1:H1"/>
    <mergeCell ref="I1:I2"/>
    <mergeCell ref="K1:S1"/>
    <mergeCell ref="T1:T2"/>
    <mergeCell ref="A2:A4"/>
    <mergeCell ref="B2:B4"/>
    <mergeCell ref="C2:C4"/>
  </mergeCells>
  <dataValidations>
    <dataValidation type="list" allowBlank="1" sqref="C5:C19 N5:N19 C21:C41 N21:N42">
      <formula1>Data!$A$2:$A$12</formula1>
    </dataValidation>
    <dataValidation type="list" allowBlank="1" sqref="C42">
      <formula1>Data!$A$2:$A$10</formula1>
    </dataValidation>
    <dataValidation type="list" allowBlank="1" sqref="D5:D19 O5:O19 D21:D42 O21:O42">
      <formula1>Data!$B$2:$B$3</formula1>
    </dataValidation>
    <dataValidation type="list" allowBlank="1" sqref="E5:E19 P5:P19 E21:E42 P21:P42">
      <formula1>Data!$C$2:$C$5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6" max="6" width="17.0"/>
  </cols>
  <sheetData>
    <row r="1">
      <c r="A1" s="95" t="s">
        <v>168</v>
      </c>
      <c r="B1" s="5"/>
      <c r="C1" s="5"/>
      <c r="D1" s="5"/>
      <c r="E1" s="5"/>
      <c r="F1" s="5"/>
      <c r="G1" s="6"/>
      <c r="H1" s="96" t="s">
        <v>17</v>
      </c>
      <c r="I1" s="97" t="s">
        <v>18</v>
      </c>
      <c r="J1" s="5"/>
      <c r="K1" s="5"/>
      <c r="L1" s="6"/>
    </row>
    <row r="2">
      <c r="A2" s="96" t="s">
        <v>21</v>
      </c>
      <c r="B2" s="96" t="s">
        <v>22</v>
      </c>
      <c r="C2" s="96" t="s">
        <v>24</v>
      </c>
      <c r="D2" s="98" t="s">
        <v>26</v>
      </c>
      <c r="E2" s="5"/>
      <c r="F2" s="5"/>
      <c r="G2" s="6"/>
      <c r="H2" s="15"/>
      <c r="I2" s="142" t="s">
        <v>29</v>
      </c>
      <c r="J2" s="142" t="s">
        <v>30</v>
      </c>
      <c r="K2" s="142" t="s">
        <v>31</v>
      </c>
      <c r="L2" s="142" t="s">
        <v>32</v>
      </c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</row>
    <row r="3">
      <c r="A3" s="15"/>
      <c r="B3" s="15"/>
      <c r="C3" s="15"/>
      <c r="D3" s="100" t="s">
        <v>34</v>
      </c>
      <c r="E3" s="101" t="s">
        <v>35</v>
      </c>
      <c r="F3" s="101" t="s">
        <v>36</v>
      </c>
      <c r="G3" s="101" t="s">
        <v>37</v>
      </c>
      <c r="H3" s="143"/>
      <c r="I3" s="15"/>
      <c r="J3" s="15"/>
      <c r="K3" s="15"/>
      <c r="L3" s="15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</row>
    <row r="4">
      <c r="A4" s="108">
        <v>1.0</v>
      </c>
      <c r="B4" s="108" t="s">
        <v>173</v>
      </c>
      <c r="C4" s="144"/>
      <c r="D4" s="145">
        <v>4250.0</v>
      </c>
      <c r="E4" s="108"/>
      <c r="F4" s="144"/>
      <c r="G4" s="108"/>
      <c r="H4" s="146"/>
      <c r="I4" s="108"/>
      <c r="J4" s="108"/>
      <c r="K4" s="108"/>
      <c r="L4" s="108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</row>
    <row r="5">
      <c r="A5" s="108">
        <v>2.0</v>
      </c>
      <c r="B5" s="108" t="s">
        <v>176</v>
      </c>
      <c r="C5" s="144"/>
      <c r="D5" s="145">
        <v>4250.0</v>
      </c>
      <c r="E5" s="147"/>
      <c r="F5" s="144"/>
      <c r="G5" s="108"/>
      <c r="H5" s="146"/>
      <c r="I5" s="108"/>
      <c r="J5" s="108"/>
      <c r="K5" s="108"/>
      <c r="L5" s="108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</row>
    <row r="6">
      <c r="A6" s="108">
        <v>3.0</v>
      </c>
      <c r="B6" s="108" t="s">
        <v>177</v>
      </c>
      <c r="C6" s="144"/>
      <c r="D6" s="145">
        <v>4250.0</v>
      </c>
      <c r="E6" s="108"/>
      <c r="F6" s="144"/>
      <c r="G6" s="108"/>
      <c r="H6" s="146"/>
      <c r="I6" s="108"/>
      <c r="J6" s="108"/>
      <c r="K6" s="108"/>
      <c r="L6" s="108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</row>
    <row r="7">
      <c r="A7" s="108">
        <v>4.0</v>
      </c>
      <c r="B7" s="108" t="s">
        <v>179</v>
      </c>
      <c r="C7" s="144"/>
      <c r="D7" s="145">
        <v>4950.0</v>
      </c>
      <c r="E7" s="108"/>
      <c r="F7" s="144"/>
      <c r="G7" s="108"/>
      <c r="H7" s="146"/>
      <c r="I7" s="108"/>
      <c r="J7" s="108"/>
      <c r="K7" s="108"/>
      <c r="L7" s="108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</row>
    <row r="8">
      <c r="A8" s="108">
        <v>5.0</v>
      </c>
      <c r="B8" s="108"/>
      <c r="C8" s="144"/>
      <c r="D8" s="145">
        <v>4950.0</v>
      </c>
      <c r="E8" s="108"/>
      <c r="F8" s="144"/>
      <c r="G8" s="144"/>
      <c r="H8" s="108"/>
      <c r="I8" s="108"/>
      <c r="J8" s="108"/>
      <c r="K8" s="108"/>
      <c r="L8" s="108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</row>
    <row r="9">
      <c r="A9" s="108">
        <v>6.0</v>
      </c>
      <c r="B9" s="149"/>
      <c r="C9" s="144"/>
      <c r="D9" s="145">
        <v>4950.0</v>
      </c>
      <c r="E9" s="108"/>
      <c r="F9" s="144"/>
      <c r="G9" s="108"/>
      <c r="H9" s="108"/>
      <c r="I9" s="108"/>
      <c r="J9" s="108"/>
      <c r="K9" s="108"/>
      <c r="L9" s="108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</row>
    <row r="10">
      <c r="A10" s="108">
        <v>7.0</v>
      </c>
      <c r="B10" s="108"/>
      <c r="C10" s="144"/>
      <c r="D10" s="145">
        <v>4950.0</v>
      </c>
      <c r="E10" s="108"/>
      <c r="F10" s="144"/>
      <c r="G10" s="144"/>
      <c r="H10" s="108"/>
      <c r="I10" s="108"/>
      <c r="J10" s="108"/>
      <c r="K10" s="108"/>
      <c r="L10" s="108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</row>
    <row r="11">
      <c r="A11" s="108">
        <v>8.0</v>
      </c>
      <c r="B11" s="108"/>
      <c r="C11" s="144"/>
      <c r="D11" s="145">
        <v>4950.0</v>
      </c>
      <c r="E11" s="108"/>
      <c r="F11" s="144"/>
      <c r="G11" s="144"/>
      <c r="H11" s="108"/>
      <c r="I11" s="108"/>
      <c r="J11" s="108"/>
      <c r="K11" s="108"/>
      <c r="L11" s="108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</row>
    <row r="12">
      <c r="A12" s="108">
        <v>9.0</v>
      </c>
      <c r="B12" s="108"/>
      <c r="C12" s="144"/>
      <c r="D12" s="145">
        <v>4950.0</v>
      </c>
      <c r="E12" s="108"/>
      <c r="F12" s="144"/>
      <c r="G12" s="144"/>
      <c r="H12" s="108"/>
      <c r="I12" s="108"/>
      <c r="J12" s="108"/>
      <c r="K12" s="108"/>
      <c r="L12" s="108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</row>
    <row r="13">
      <c r="A13" s="108">
        <v>10.0</v>
      </c>
      <c r="B13" s="108"/>
      <c r="C13" s="144"/>
      <c r="D13" s="145">
        <v>4950.0</v>
      </c>
      <c r="E13" s="108"/>
      <c r="F13" s="144"/>
      <c r="G13" s="144"/>
      <c r="H13" s="108"/>
      <c r="I13" s="108"/>
      <c r="J13" s="108"/>
      <c r="K13" s="108"/>
      <c r="L13" s="108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</row>
    <row r="14">
      <c r="A14" s="108">
        <v>11.0</v>
      </c>
      <c r="B14" s="108"/>
      <c r="C14" s="144"/>
      <c r="D14" s="145">
        <v>4950.0</v>
      </c>
      <c r="E14" s="108"/>
      <c r="F14" s="144"/>
      <c r="G14" s="144"/>
      <c r="H14" s="108"/>
      <c r="I14" s="108"/>
      <c r="J14" s="108"/>
      <c r="K14" s="108"/>
      <c r="L14" s="108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</row>
    <row r="15">
      <c r="A15" s="114"/>
      <c r="B15" s="114"/>
      <c r="C15" s="114"/>
      <c r="D15" s="150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</row>
    <row r="16">
      <c r="D16" s="89"/>
    </row>
    <row r="17">
      <c r="D17" s="89"/>
    </row>
    <row r="18">
      <c r="D18" s="89"/>
    </row>
    <row r="19">
      <c r="D19" s="89"/>
    </row>
    <row r="20">
      <c r="D20" s="89"/>
    </row>
    <row r="21">
      <c r="D21" s="89"/>
    </row>
    <row r="22">
      <c r="D22" s="89"/>
    </row>
    <row r="23">
      <c r="D23" s="89"/>
    </row>
    <row r="24">
      <c r="D24" s="89"/>
    </row>
    <row r="25">
      <c r="D25" s="89"/>
    </row>
    <row r="26">
      <c r="D26" s="89"/>
    </row>
    <row r="27">
      <c r="D27" s="89"/>
    </row>
    <row r="28">
      <c r="D28" s="89"/>
    </row>
    <row r="29">
      <c r="D29" s="89"/>
    </row>
    <row r="30">
      <c r="D30" s="89"/>
    </row>
    <row r="31">
      <c r="D31" s="89"/>
    </row>
    <row r="32">
      <c r="D32" s="89"/>
    </row>
    <row r="33">
      <c r="D33" s="89"/>
    </row>
    <row r="34">
      <c r="D34" s="89"/>
    </row>
    <row r="35">
      <c r="D35" s="89"/>
    </row>
    <row r="36">
      <c r="D36" s="89"/>
    </row>
    <row r="37">
      <c r="D37" s="89"/>
    </row>
    <row r="38">
      <c r="D38" s="89"/>
    </row>
    <row r="39">
      <c r="D39" s="89"/>
    </row>
    <row r="40">
      <c r="D40" s="89"/>
    </row>
    <row r="41">
      <c r="D41" s="89"/>
    </row>
    <row r="42">
      <c r="D42" s="89"/>
    </row>
    <row r="43">
      <c r="D43" s="89"/>
    </row>
    <row r="44">
      <c r="D44" s="89"/>
    </row>
    <row r="45">
      <c r="D45" s="89"/>
    </row>
    <row r="46">
      <c r="D46" s="89"/>
    </row>
    <row r="47">
      <c r="D47" s="89"/>
    </row>
    <row r="48">
      <c r="D48" s="89"/>
    </row>
    <row r="49">
      <c r="D49" s="89"/>
    </row>
    <row r="50">
      <c r="D50" s="89"/>
    </row>
    <row r="51">
      <c r="D51" s="89"/>
    </row>
    <row r="52">
      <c r="D52" s="89"/>
    </row>
    <row r="53">
      <c r="D53" s="89"/>
    </row>
    <row r="54">
      <c r="D54" s="89"/>
    </row>
    <row r="55">
      <c r="D55" s="89"/>
    </row>
    <row r="56">
      <c r="D56" s="89"/>
    </row>
    <row r="57">
      <c r="D57" s="89"/>
    </row>
    <row r="58">
      <c r="D58" s="89"/>
    </row>
    <row r="59">
      <c r="D59" s="89"/>
    </row>
    <row r="60">
      <c r="D60" s="89"/>
    </row>
    <row r="61">
      <c r="D61" s="89"/>
    </row>
    <row r="62">
      <c r="D62" s="89"/>
    </row>
    <row r="63">
      <c r="D63" s="89"/>
    </row>
    <row r="64">
      <c r="D64" s="89"/>
    </row>
    <row r="65">
      <c r="D65" s="89"/>
    </row>
    <row r="66">
      <c r="D66" s="89"/>
    </row>
    <row r="67">
      <c r="D67" s="89"/>
    </row>
    <row r="68">
      <c r="D68" s="89"/>
    </row>
    <row r="69">
      <c r="D69" s="89"/>
    </row>
    <row r="70">
      <c r="D70" s="89"/>
    </row>
    <row r="71">
      <c r="D71" s="89"/>
    </row>
    <row r="72">
      <c r="D72" s="89"/>
    </row>
    <row r="73">
      <c r="D73" s="89"/>
    </row>
    <row r="74">
      <c r="D74" s="89"/>
    </row>
    <row r="75">
      <c r="D75" s="89"/>
    </row>
    <row r="76">
      <c r="D76" s="89"/>
    </row>
    <row r="77">
      <c r="D77" s="89"/>
    </row>
    <row r="78">
      <c r="D78" s="89"/>
    </row>
    <row r="79">
      <c r="D79" s="89"/>
    </row>
    <row r="80">
      <c r="D80" s="89"/>
    </row>
    <row r="81">
      <c r="D81" s="89"/>
    </row>
    <row r="82">
      <c r="D82" s="89"/>
    </row>
    <row r="83">
      <c r="D83" s="89"/>
    </row>
    <row r="84">
      <c r="D84" s="89"/>
    </row>
    <row r="85">
      <c r="D85" s="89"/>
    </row>
    <row r="86">
      <c r="D86" s="89"/>
    </row>
    <row r="87">
      <c r="D87" s="89"/>
    </row>
    <row r="88">
      <c r="D88" s="89"/>
    </row>
    <row r="89">
      <c r="D89" s="89"/>
    </row>
    <row r="90">
      <c r="D90" s="89"/>
    </row>
    <row r="91">
      <c r="D91" s="89"/>
    </row>
    <row r="92">
      <c r="D92" s="89"/>
    </row>
    <row r="93">
      <c r="D93" s="89"/>
    </row>
    <row r="94">
      <c r="D94" s="89"/>
    </row>
    <row r="95">
      <c r="D95" s="89"/>
    </row>
    <row r="96">
      <c r="D96" s="89"/>
    </row>
    <row r="97">
      <c r="D97" s="89"/>
    </row>
    <row r="98">
      <c r="D98" s="89"/>
    </row>
    <row r="99">
      <c r="D99" s="89"/>
    </row>
    <row r="100">
      <c r="D100" s="89"/>
    </row>
    <row r="101">
      <c r="D101" s="89"/>
    </row>
    <row r="102">
      <c r="D102" s="89"/>
    </row>
    <row r="103">
      <c r="D103" s="89"/>
    </row>
    <row r="104">
      <c r="D104" s="89"/>
    </row>
    <row r="105">
      <c r="D105" s="89"/>
    </row>
    <row r="106">
      <c r="D106" s="89"/>
    </row>
    <row r="107">
      <c r="D107" s="89"/>
    </row>
    <row r="108">
      <c r="D108" s="89"/>
    </row>
    <row r="109">
      <c r="D109" s="89"/>
    </row>
    <row r="110">
      <c r="D110" s="89"/>
    </row>
    <row r="111">
      <c r="D111" s="89"/>
    </row>
    <row r="112">
      <c r="D112" s="89"/>
    </row>
    <row r="113">
      <c r="D113" s="89"/>
    </row>
    <row r="114">
      <c r="D114" s="89"/>
    </row>
    <row r="115">
      <c r="D115" s="89"/>
    </row>
    <row r="116">
      <c r="D116" s="89"/>
    </row>
    <row r="117">
      <c r="D117" s="89"/>
    </row>
    <row r="118">
      <c r="D118" s="89"/>
    </row>
    <row r="119">
      <c r="D119" s="89"/>
    </row>
    <row r="120">
      <c r="D120" s="89"/>
    </row>
    <row r="121">
      <c r="D121" s="89"/>
    </row>
    <row r="122">
      <c r="D122" s="89"/>
    </row>
    <row r="123">
      <c r="D123" s="89"/>
    </row>
    <row r="124">
      <c r="D124" s="89"/>
    </row>
    <row r="125">
      <c r="D125" s="89"/>
    </row>
    <row r="126">
      <c r="D126" s="89"/>
    </row>
    <row r="127">
      <c r="D127" s="89"/>
    </row>
    <row r="128">
      <c r="D128" s="89"/>
    </row>
    <row r="129">
      <c r="D129" s="89"/>
    </row>
    <row r="130">
      <c r="D130" s="89"/>
    </row>
    <row r="131">
      <c r="D131" s="89"/>
    </row>
    <row r="132">
      <c r="D132" s="89"/>
    </row>
    <row r="133">
      <c r="D133" s="89"/>
    </row>
    <row r="134">
      <c r="D134" s="89"/>
    </row>
    <row r="135">
      <c r="D135" s="89"/>
    </row>
    <row r="136">
      <c r="D136" s="89"/>
    </row>
    <row r="137">
      <c r="D137" s="89"/>
    </row>
    <row r="138">
      <c r="D138" s="89"/>
    </row>
    <row r="139">
      <c r="D139" s="89"/>
    </row>
    <row r="140">
      <c r="D140" s="89"/>
    </row>
    <row r="141">
      <c r="D141" s="89"/>
    </row>
    <row r="142">
      <c r="D142" s="89"/>
    </row>
    <row r="143">
      <c r="D143" s="89"/>
    </row>
    <row r="144">
      <c r="D144" s="89"/>
    </row>
    <row r="145">
      <c r="D145" s="89"/>
    </row>
    <row r="146">
      <c r="D146" s="89"/>
    </row>
    <row r="147">
      <c r="D147" s="89"/>
    </row>
    <row r="148">
      <c r="D148" s="89"/>
    </row>
    <row r="149">
      <c r="D149" s="89"/>
    </row>
    <row r="150">
      <c r="D150" s="89"/>
    </row>
    <row r="151">
      <c r="D151" s="89"/>
    </row>
    <row r="152">
      <c r="D152" s="89"/>
    </row>
    <row r="153">
      <c r="D153" s="89"/>
    </row>
    <row r="154">
      <c r="D154" s="89"/>
    </row>
    <row r="155">
      <c r="D155" s="89"/>
    </row>
    <row r="156">
      <c r="D156" s="89"/>
    </row>
    <row r="157">
      <c r="D157" s="89"/>
    </row>
    <row r="158">
      <c r="D158" s="89"/>
    </row>
    <row r="159">
      <c r="D159" s="89"/>
    </row>
    <row r="160">
      <c r="D160" s="89"/>
    </row>
    <row r="161">
      <c r="D161" s="89"/>
    </row>
    <row r="162">
      <c r="D162" s="89"/>
    </row>
    <row r="163">
      <c r="D163" s="89"/>
    </row>
    <row r="164">
      <c r="D164" s="89"/>
    </row>
    <row r="165">
      <c r="D165" s="89"/>
    </row>
    <row r="166">
      <c r="D166" s="89"/>
    </row>
    <row r="167">
      <c r="D167" s="89"/>
    </row>
    <row r="168">
      <c r="D168" s="89"/>
    </row>
    <row r="169">
      <c r="D169" s="89"/>
    </row>
    <row r="170">
      <c r="D170" s="89"/>
    </row>
    <row r="171">
      <c r="D171" s="89"/>
    </row>
    <row r="172">
      <c r="D172" s="89"/>
    </row>
    <row r="173">
      <c r="D173" s="89"/>
    </row>
    <row r="174">
      <c r="D174" s="89"/>
    </row>
    <row r="175">
      <c r="D175" s="89"/>
    </row>
    <row r="176">
      <c r="D176" s="89"/>
    </row>
    <row r="177">
      <c r="D177" s="89"/>
    </row>
    <row r="178">
      <c r="D178" s="89"/>
    </row>
    <row r="179">
      <c r="D179" s="89"/>
    </row>
    <row r="180">
      <c r="D180" s="89"/>
    </row>
    <row r="181">
      <c r="D181" s="89"/>
    </row>
    <row r="182">
      <c r="D182" s="89"/>
    </row>
    <row r="183">
      <c r="D183" s="89"/>
    </row>
    <row r="184">
      <c r="D184" s="89"/>
    </row>
    <row r="185">
      <c r="D185" s="89"/>
    </row>
    <row r="186">
      <c r="D186" s="89"/>
    </row>
    <row r="187">
      <c r="D187" s="89"/>
    </row>
    <row r="188">
      <c r="D188" s="89"/>
    </row>
    <row r="189">
      <c r="D189" s="89"/>
    </row>
    <row r="190">
      <c r="D190" s="89"/>
    </row>
    <row r="191">
      <c r="D191" s="89"/>
    </row>
    <row r="192">
      <c r="D192" s="89"/>
    </row>
    <row r="193">
      <c r="D193" s="89"/>
    </row>
    <row r="194">
      <c r="D194" s="89"/>
    </row>
    <row r="195">
      <c r="D195" s="89"/>
    </row>
    <row r="196">
      <c r="D196" s="89"/>
    </row>
    <row r="197">
      <c r="D197" s="89"/>
    </row>
    <row r="198">
      <c r="D198" s="89"/>
    </row>
    <row r="199">
      <c r="D199" s="89"/>
    </row>
    <row r="200">
      <c r="D200" s="89"/>
    </row>
    <row r="201">
      <c r="D201" s="89"/>
    </row>
    <row r="202">
      <c r="D202" s="89"/>
    </row>
    <row r="203">
      <c r="D203" s="89"/>
    </row>
    <row r="204">
      <c r="D204" s="89"/>
    </row>
    <row r="205">
      <c r="D205" s="89"/>
    </row>
    <row r="206">
      <c r="D206" s="89"/>
    </row>
    <row r="207">
      <c r="D207" s="89"/>
    </row>
    <row r="208">
      <c r="D208" s="89"/>
    </row>
    <row r="209">
      <c r="D209" s="89"/>
    </row>
    <row r="210">
      <c r="D210" s="89"/>
    </row>
    <row r="211">
      <c r="D211" s="89"/>
    </row>
    <row r="212">
      <c r="D212" s="89"/>
    </row>
    <row r="213">
      <c r="D213" s="89"/>
    </row>
    <row r="214">
      <c r="D214" s="89"/>
    </row>
    <row r="215">
      <c r="D215" s="89"/>
    </row>
    <row r="216">
      <c r="D216" s="89"/>
    </row>
    <row r="217">
      <c r="D217" s="89"/>
    </row>
    <row r="218">
      <c r="D218" s="89"/>
    </row>
    <row r="219">
      <c r="D219" s="89"/>
    </row>
    <row r="220">
      <c r="D220" s="89"/>
    </row>
    <row r="221">
      <c r="D221" s="89"/>
    </row>
    <row r="222">
      <c r="D222" s="89"/>
    </row>
    <row r="223">
      <c r="D223" s="89"/>
    </row>
    <row r="224">
      <c r="D224" s="89"/>
    </row>
    <row r="225">
      <c r="D225" s="89"/>
    </row>
    <row r="226">
      <c r="D226" s="89"/>
    </row>
    <row r="227">
      <c r="D227" s="89"/>
    </row>
    <row r="228">
      <c r="D228" s="89"/>
    </row>
    <row r="229">
      <c r="D229" s="89"/>
    </row>
    <row r="230">
      <c r="D230" s="89"/>
    </row>
    <row r="231">
      <c r="D231" s="89"/>
    </row>
    <row r="232">
      <c r="D232" s="89"/>
    </row>
    <row r="233">
      <c r="D233" s="89"/>
    </row>
    <row r="234">
      <c r="D234" s="89"/>
    </row>
    <row r="235">
      <c r="D235" s="89"/>
    </row>
    <row r="236">
      <c r="D236" s="89"/>
    </row>
    <row r="237">
      <c r="D237" s="89"/>
    </row>
    <row r="238">
      <c r="D238" s="89"/>
    </row>
    <row r="239">
      <c r="D239" s="89"/>
    </row>
    <row r="240">
      <c r="D240" s="89"/>
    </row>
    <row r="241">
      <c r="D241" s="89"/>
    </row>
    <row r="242">
      <c r="D242" s="89"/>
    </row>
    <row r="243">
      <c r="D243" s="89"/>
    </row>
    <row r="244">
      <c r="D244" s="89"/>
    </row>
    <row r="245">
      <c r="D245" s="89"/>
    </row>
    <row r="246">
      <c r="D246" s="89"/>
    </row>
    <row r="247">
      <c r="D247" s="89"/>
    </row>
    <row r="248">
      <c r="D248" s="89"/>
    </row>
    <row r="249">
      <c r="D249" s="89"/>
    </row>
    <row r="250">
      <c r="D250" s="89"/>
    </row>
    <row r="251">
      <c r="D251" s="89"/>
    </row>
    <row r="252">
      <c r="D252" s="89"/>
    </row>
    <row r="253">
      <c r="D253" s="89"/>
    </row>
    <row r="254">
      <c r="D254" s="89"/>
    </row>
    <row r="255">
      <c r="D255" s="89"/>
    </row>
    <row r="256">
      <c r="D256" s="89"/>
    </row>
    <row r="257">
      <c r="D257" s="89"/>
    </row>
    <row r="258">
      <c r="D258" s="89"/>
    </row>
    <row r="259">
      <c r="D259" s="89"/>
    </row>
    <row r="260">
      <c r="D260" s="89"/>
    </row>
    <row r="261">
      <c r="D261" s="89"/>
    </row>
    <row r="262">
      <c r="D262" s="89"/>
    </row>
    <row r="263">
      <c r="D263" s="89"/>
    </row>
    <row r="264">
      <c r="D264" s="89"/>
    </row>
    <row r="265">
      <c r="D265" s="89"/>
    </row>
    <row r="266">
      <c r="D266" s="89"/>
    </row>
    <row r="267">
      <c r="D267" s="89"/>
    </row>
    <row r="268">
      <c r="D268" s="89"/>
    </row>
    <row r="269">
      <c r="D269" s="89"/>
    </row>
    <row r="270">
      <c r="D270" s="89"/>
    </row>
    <row r="271">
      <c r="D271" s="89"/>
    </row>
    <row r="272">
      <c r="D272" s="89"/>
    </row>
    <row r="273">
      <c r="D273" s="89"/>
    </row>
    <row r="274">
      <c r="D274" s="89"/>
    </row>
    <row r="275">
      <c r="D275" s="89"/>
    </row>
    <row r="276">
      <c r="D276" s="89"/>
    </row>
    <row r="277">
      <c r="D277" s="89"/>
    </row>
    <row r="278">
      <c r="D278" s="89"/>
    </row>
    <row r="279">
      <c r="D279" s="89"/>
    </row>
    <row r="280">
      <c r="D280" s="89"/>
    </row>
    <row r="281">
      <c r="D281" s="89"/>
    </row>
    <row r="282">
      <c r="D282" s="89"/>
    </row>
    <row r="283">
      <c r="D283" s="89"/>
    </row>
    <row r="284">
      <c r="D284" s="89"/>
    </row>
    <row r="285">
      <c r="D285" s="89"/>
    </row>
    <row r="286">
      <c r="D286" s="89"/>
    </row>
    <row r="287">
      <c r="D287" s="89"/>
    </row>
    <row r="288">
      <c r="D288" s="89"/>
    </row>
    <row r="289">
      <c r="D289" s="89"/>
    </row>
    <row r="290">
      <c r="D290" s="89"/>
    </row>
    <row r="291">
      <c r="D291" s="89"/>
    </row>
    <row r="292">
      <c r="D292" s="89"/>
    </row>
    <row r="293">
      <c r="D293" s="89"/>
    </row>
    <row r="294">
      <c r="D294" s="89"/>
    </row>
    <row r="295">
      <c r="D295" s="89"/>
    </row>
    <row r="296">
      <c r="D296" s="89"/>
    </row>
    <row r="297">
      <c r="D297" s="89"/>
    </row>
    <row r="298">
      <c r="D298" s="89"/>
    </row>
    <row r="299">
      <c r="D299" s="89"/>
    </row>
    <row r="300">
      <c r="D300" s="89"/>
    </row>
    <row r="301">
      <c r="D301" s="89"/>
    </row>
    <row r="302">
      <c r="D302" s="89"/>
    </row>
    <row r="303">
      <c r="D303" s="89"/>
    </row>
    <row r="304">
      <c r="D304" s="89"/>
    </row>
    <row r="305">
      <c r="D305" s="89"/>
    </row>
    <row r="306">
      <c r="D306" s="89"/>
    </row>
    <row r="307">
      <c r="D307" s="89"/>
    </row>
    <row r="308">
      <c r="D308" s="89"/>
    </row>
    <row r="309">
      <c r="D309" s="89"/>
    </row>
    <row r="310">
      <c r="D310" s="89"/>
    </row>
    <row r="311">
      <c r="D311" s="89"/>
    </row>
    <row r="312">
      <c r="D312" s="89"/>
    </row>
    <row r="313">
      <c r="D313" s="89"/>
    </row>
    <row r="314">
      <c r="D314" s="89"/>
    </row>
    <row r="315">
      <c r="D315" s="89"/>
    </row>
    <row r="316">
      <c r="D316" s="89"/>
    </row>
    <row r="317">
      <c r="D317" s="89"/>
    </row>
    <row r="318">
      <c r="D318" s="89"/>
    </row>
    <row r="319">
      <c r="D319" s="89"/>
    </row>
    <row r="320">
      <c r="D320" s="89"/>
    </row>
    <row r="321">
      <c r="D321" s="89"/>
    </row>
    <row r="322">
      <c r="D322" s="89"/>
    </row>
    <row r="323">
      <c r="D323" s="89"/>
    </row>
    <row r="324">
      <c r="D324" s="89"/>
    </row>
    <row r="325">
      <c r="D325" s="89"/>
    </row>
    <row r="326">
      <c r="D326" s="89"/>
    </row>
    <row r="327">
      <c r="D327" s="89"/>
    </row>
    <row r="328">
      <c r="D328" s="89"/>
    </row>
    <row r="329">
      <c r="D329" s="89"/>
    </row>
    <row r="330">
      <c r="D330" s="89"/>
    </row>
    <row r="331">
      <c r="D331" s="89"/>
    </row>
    <row r="332">
      <c r="D332" s="89"/>
    </row>
    <row r="333">
      <c r="D333" s="89"/>
    </row>
    <row r="334">
      <c r="D334" s="89"/>
    </row>
    <row r="335">
      <c r="D335" s="89"/>
    </row>
    <row r="336">
      <c r="D336" s="89"/>
    </row>
    <row r="337">
      <c r="D337" s="89"/>
    </row>
    <row r="338">
      <c r="D338" s="89"/>
    </row>
    <row r="339">
      <c r="D339" s="89"/>
    </row>
    <row r="340">
      <c r="D340" s="89"/>
    </row>
    <row r="341">
      <c r="D341" s="89"/>
    </row>
    <row r="342">
      <c r="D342" s="89"/>
    </row>
    <row r="343">
      <c r="D343" s="89"/>
    </row>
    <row r="344">
      <c r="D344" s="89"/>
    </row>
    <row r="345">
      <c r="D345" s="89"/>
    </row>
    <row r="346">
      <c r="D346" s="89"/>
    </row>
    <row r="347">
      <c r="D347" s="89"/>
    </row>
    <row r="348">
      <c r="D348" s="89"/>
    </row>
    <row r="349">
      <c r="D349" s="89"/>
    </row>
    <row r="350">
      <c r="D350" s="89"/>
    </row>
    <row r="351">
      <c r="D351" s="89"/>
    </row>
    <row r="352">
      <c r="D352" s="89"/>
    </row>
    <row r="353">
      <c r="D353" s="89"/>
    </row>
    <row r="354">
      <c r="D354" s="89"/>
    </row>
    <row r="355">
      <c r="D355" s="89"/>
    </row>
    <row r="356">
      <c r="D356" s="89"/>
    </row>
    <row r="357">
      <c r="D357" s="89"/>
    </row>
    <row r="358">
      <c r="D358" s="89"/>
    </row>
    <row r="359">
      <c r="D359" s="89"/>
    </row>
    <row r="360">
      <c r="D360" s="89"/>
    </row>
    <row r="361">
      <c r="D361" s="89"/>
    </row>
    <row r="362">
      <c r="D362" s="89"/>
    </row>
    <row r="363">
      <c r="D363" s="89"/>
    </row>
    <row r="364">
      <c r="D364" s="89"/>
    </row>
    <row r="365">
      <c r="D365" s="89"/>
    </row>
    <row r="366">
      <c r="D366" s="89"/>
    </row>
    <row r="367">
      <c r="D367" s="89"/>
    </row>
    <row r="368">
      <c r="D368" s="89"/>
    </row>
    <row r="369">
      <c r="D369" s="89"/>
    </row>
    <row r="370">
      <c r="D370" s="89"/>
    </row>
    <row r="371">
      <c r="D371" s="89"/>
    </row>
    <row r="372">
      <c r="D372" s="89"/>
    </row>
    <row r="373">
      <c r="D373" s="89"/>
    </row>
    <row r="374">
      <c r="D374" s="89"/>
    </row>
    <row r="375">
      <c r="D375" s="89"/>
    </row>
    <row r="376">
      <c r="D376" s="89"/>
    </row>
    <row r="377">
      <c r="D377" s="89"/>
    </row>
    <row r="378">
      <c r="D378" s="89"/>
    </row>
    <row r="379">
      <c r="D379" s="89"/>
    </row>
    <row r="380">
      <c r="D380" s="89"/>
    </row>
    <row r="381">
      <c r="D381" s="89"/>
    </row>
    <row r="382">
      <c r="D382" s="89"/>
    </row>
    <row r="383">
      <c r="D383" s="89"/>
    </row>
    <row r="384">
      <c r="D384" s="89"/>
    </row>
    <row r="385">
      <c r="D385" s="89"/>
    </row>
    <row r="386">
      <c r="D386" s="89"/>
    </row>
    <row r="387">
      <c r="D387" s="89"/>
    </row>
    <row r="388">
      <c r="D388" s="89"/>
    </row>
    <row r="389">
      <c r="D389" s="89"/>
    </row>
    <row r="390">
      <c r="D390" s="89"/>
    </row>
    <row r="391">
      <c r="D391" s="89"/>
    </row>
    <row r="392">
      <c r="D392" s="89"/>
    </row>
    <row r="393">
      <c r="D393" s="89"/>
    </row>
    <row r="394">
      <c r="D394" s="89"/>
    </row>
    <row r="395">
      <c r="D395" s="89"/>
    </row>
    <row r="396">
      <c r="D396" s="89"/>
    </row>
    <row r="397">
      <c r="D397" s="89"/>
    </row>
    <row r="398">
      <c r="D398" s="89"/>
    </row>
    <row r="399">
      <c r="D399" s="89"/>
    </row>
    <row r="400">
      <c r="D400" s="89"/>
    </row>
    <row r="401">
      <c r="D401" s="89"/>
    </row>
    <row r="402">
      <c r="D402" s="89"/>
    </row>
    <row r="403">
      <c r="D403" s="89"/>
    </row>
    <row r="404">
      <c r="D404" s="89"/>
    </row>
    <row r="405">
      <c r="D405" s="89"/>
    </row>
    <row r="406">
      <c r="D406" s="89"/>
    </row>
    <row r="407">
      <c r="D407" s="89"/>
    </row>
    <row r="408">
      <c r="D408" s="89"/>
    </row>
    <row r="409">
      <c r="D409" s="89"/>
    </row>
    <row r="410">
      <c r="D410" s="89"/>
    </row>
    <row r="411">
      <c r="D411" s="89"/>
    </row>
    <row r="412">
      <c r="D412" s="89"/>
    </row>
    <row r="413">
      <c r="D413" s="89"/>
    </row>
    <row r="414">
      <c r="D414" s="89"/>
    </row>
    <row r="415">
      <c r="D415" s="89"/>
    </row>
    <row r="416">
      <c r="D416" s="89"/>
    </row>
    <row r="417">
      <c r="D417" s="89"/>
    </row>
    <row r="418">
      <c r="D418" s="89"/>
    </row>
    <row r="419">
      <c r="D419" s="89"/>
    </row>
    <row r="420">
      <c r="D420" s="89"/>
    </row>
    <row r="421">
      <c r="D421" s="89"/>
    </row>
    <row r="422">
      <c r="D422" s="89"/>
    </row>
    <row r="423">
      <c r="D423" s="89"/>
    </row>
    <row r="424">
      <c r="D424" s="89"/>
    </row>
    <row r="425">
      <c r="D425" s="89"/>
    </row>
    <row r="426">
      <c r="D426" s="89"/>
    </row>
    <row r="427">
      <c r="D427" s="89"/>
    </row>
    <row r="428">
      <c r="D428" s="89"/>
    </row>
    <row r="429">
      <c r="D429" s="89"/>
    </row>
    <row r="430">
      <c r="D430" s="89"/>
    </row>
    <row r="431">
      <c r="D431" s="89"/>
    </row>
    <row r="432">
      <c r="D432" s="89"/>
    </row>
    <row r="433">
      <c r="D433" s="89"/>
    </row>
    <row r="434">
      <c r="D434" s="89"/>
    </row>
    <row r="435">
      <c r="D435" s="89"/>
    </row>
    <row r="436">
      <c r="D436" s="89"/>
    </row>
    <row r="437">
      <c r="D437" s="89"/>
    </row>
    <row r="438">
      <c r="D438" s="89"/>
    </row>
    <row r="439">
      <c r="D439" s="89"/>
    </row>
    <row r="440">
      <c r="D440" s="89"/>
    </row>
    <row r="441">
      <c r="D441" s="89"/>
    </row>
    <row r="442">
      <c r="D442" s="89"/>
    </row>
    <row r="443">
      <c r="D443" s="89"/>
    </row>
    <row r="444">
      <c r="D444" s="89"/>
    </row>
    <row r="445">
      <c r="D445" s="89"/>
    </row>
    <row r="446">
      <c r="D446" s="89"/>
    </row>
    <row r="447">
      <c r="D447" s="89"/>
    </row>
    <row r="448">
      <c r="D448" s="89"/>
    </row>
    <row r="449">
      <c r="D449" s="89"/>
    </row>
    <row r="450">
      <c r="D450" s="89"/>
    </row>
    <row r="451">
      <c r="D451" s="89"/>
    </row>
    <row r="452">
      <c r="D452" s="89"/>
    </row>
    <row r="453">
      <c r="D453" s="89"/>
    </row>
    <row r="454">
      <c r="D454" s="89"/>
    </row>
    <row r="455">
      <c r="D455" s="89"/>
    </row>
    <row r="456">
      <c r="D456" s="89"/>
    </row>
    <row r="457">
      <c r="D457" s="89"/>
    </row>
    <row r="458">
      <c r="D458" s="89"/>
    </row>
    <row r="459">
      <c r="D459" s="89"/>
    </row>
    <row r="460">
      <c r="D460" s="89"/>
    </row>
    <row r="461">
      <c r="D461" s="89"/>
    </row>
    <row r="462">
      <c r="D462" s="89"/>
    </row>
    <row r="463">
      <c r="D463" s="89"/>
    </row>
    <row r="464">
      <c r="D464" s="89"/>
    </row>
    <row r="465">
      <c r="D465" s="89"/>
    </row>
    <row r="466">
      <c r="D466" s="89"/>
    </row>
    <row r="467">
      <c r="D467" s="89"/>
    </row>
    <row r="468">
      <c r="D468" s="89"/>
    </row>
    <row r="469">
      <c r="D469" s="89"/>
    </row>
    <row r="470">
      <c r="D470" s="89"/>
    </row>
    <row r="471">
      <c r="D471" s="89"/>
    </row>
    <row r="472">
      <c r="D472" s="89"/>
    </row>
    <row r="473">
      <c r="D473" s="89"/>
    </row>
    <row r="474">
      <c r="D474" s="89"/>
    </row>
    <row r="475">
      <c r="D475" s="89"/>
    </row>
    <row r="476">
      <c r="D476" s="89"/>
    </row>
    <row r="477">
      <c r="D477" s="89"/>
    </row>
    <row r="478">
      <c r="D478" s="89"/>
    </row>
    <row r="479">
      <c r="D479" s="89"/>
    </row>
    <row r="480">
      <c r="D480" s="89"/>
    </row>
    <row r="481">
      <c r="D481" s="89"/>
    </row>
    <row r="482">
      <c r="D482" s="89"/>
    </row>
    <row r="483">
      <c r="D483" s="89"/>
    </row>
    <row r="484">
      <c r="D484" s="89"/>
    </row>
    <row r="485">
      <c r="D485" s="89"/>
    </row>
    <row r="486">
      <c r="D486" s="89"/>
    </row>
    <row r="487">
      <c r="D487" s="89"/>
    </row>
    <row r="488">
      <c r="D488" s="89"/>
    </row>
    <row r="489">
      <c r="D489" s="89"/>
    </row>
    <row r="490">
      <c r="D490" s="89"/>
    </row>
    <row r="491">
      <c r="D491" s="89"/>
    </row>
    <row r="492">
      <c r="D492" s="89"/>
    </row>
    <row r="493">
      <c r="D493" s="89"/>
    </row>
    <row r="494">
      <c r="D494" s="89"/>
    </row>
    <row r="495">
      <c r="D495" s="89"/>
    </row>
    <row r="496">
      <c r="D496" s="89"/>
    </row>
    <row r="497">
      <c r="D497" s="89"/>
    </row>
    <row r="498">
      <c r="D498" s="89"/>
    </row>
    <row r="499">
      <c r="D499" s="89"/>
    </row>
    <row r="500">
      <c r="D500" s="89"/>
    </row>
    <row r="501">
      <c r="D501" s="89"/>
    </row>
    <row r="502">
      <c r="D502" s="89"/>
    </row>
    <row r="503">
      <c r="D503" s="89"/>
    </row>
    <row r="504">
      <c r="D504" s="89"/>
    </row>
    <row r="505">
      <c r="D505" s="89"/>
    </row>
    <row r="506">
      <c r="D506" s="89"/>
    </row>
    <row r="507">
      <c r="D507" s="89"/>
    </row>
    <row r="508">
      <c r="D508" s="89"/>
    </row>
    <row r="509">
      <c r="D509" s="89"/>
    </row>
    <row r="510">
      <c r="D510" s="89"/>
    </row>
    <row r="511">
      <c r="D511" s="89"/>
    </row>
    <row r="512">
      <c r="D512" s="89"/>
    </row>
    <row r="513">
      <c r="D513" s="89"/>
    </row>
    <row r="514">
      <c r="D514" s="89"/>
    </row>
    <row r="515">
      <c r="D515" s="89"/>
    </row>
    <row r="516">
      <c r="D516" s="89"/>
    </row>
    <row r="517">
      <c r="D517" s="89"/>
    </row>
    <row r="518">
      <c r="D518" s="89"/>
    </row>
    <row r="519">
      <c r="D519" s="89"/>
    </row>
    <row r="520">
      <c r="D520" s="89"/>
    </row>
    <row r="521">
      <c r="D521" s="89"/>
    </row>
    <row r="522">
      <c r="D522" s="89"/>
    </row>
    <row r="523">
      <c r="D523" s="89"/>
    </row>
    <row r="524">
      <c r="D524" s="89"/>
    </row>
    <row r="525">
      <c r="D525" s="89"/>
    </row>
    <row r="526">
      <c r="D526" s="89"/>
    </row>
    <row r="527">
      <c r="D527" s="89"/>
    </row>
    <row r="528">
      <c r="D528" s="89"/>
    </row>
    <row r="529">
      <c r="D529" s="89"/>
    </row>
    <row r="530">
      <c r="D530" s="89"/>
    </row>
    <row r="531">
      <c r="D531" s="89"/>
    </row>
    <row r="532">
      <c r="D532" s="89"/>
    </row>
    <row r="533">
      <c r="D533" s="89"/>
    </row>
    <row r="534">
      <c r="D534" s="89"/>
    </row>
    <row r="535">
      <c r="D535" s="89"/>
    </row>
    <row r="536">
      <c r="D536" s="89"/>
    </row>
    <row r="537">
      <c r="D537" s="89"/>
    </row>
    <row r="538">
      <c r="D538" s="89"/>
    </row>
    <row r="539">
      <c r="D539" s="89"/>
    </row>
    <row r="540">
      <c r="D540" s="89"/>
    </row>
    <row r="541">
      <c r="D541" s="89"/>
    </row>
    <row r="542">
      <c r="D542" s="89"/>
    </row>
    <row r="543">
      <c r="D543" s="89"/>
    </row>
    <row r="544">
      <c r="D544" s="89"/>
    </row>
    <row r="545">
      <c r="D545" s="89"/>
    </row>
    <row r="546">
      <c r="D546" s="89"/>
    </row>
    <row r="547">
      <c r="D547" s="89"/>
    </row>
    <row r="548">
      <c r="D548" s="89"/>
    </row>
    <row r="549">
      <c r="D549" s="89"/>
    </row>
    <row r="550">
      <c r="D550" s="89"/>
    </row>
    <row r="551">
      <c r="D551" s="89"/>
    </row>
    <row r="552">
      <c r="D552" s="89"/>
    </row>
    <row r="553">
      <c r="D553" s="89"/>
    </row>
    <row r="554">
      <c r="D554" s="89"/>
    </row>
    <row r="555">
      <c r="D555" s="89"/>
    </row>
    <row r="556">
      <c r="D556" s="89"/>
    </row>
    <row r="557">
      <c r="D557" s="89"/>
    </row>
    <row r="558">
      <c r="D558" s="89"/>
    </row>
    <row r="559">
      <c r="D559" s="89"/>
    </row>
    <row r="560">
      <c r="D560" s="89"/>
    </row>
    <row r="561">
      <c r="D561" s="89"/>
    </row>
    <row r="562">
      <c r="D562" s="89"/>
    </row>
    <row r="563">
      <c r="D563" s="89"/>
    </row>
    <row r="564">
      <c r="D564" s="89"/>
    </row>
    <row r="565">
      <c r="D565" s="89"/>
    </row>
    <row r="566">
      <c r="D566" s="89"/>
    </row>
    <row r="567">
      <c r="D567" s="89"/>
    </row>
    <row r="568">
      <c r="D568" s="89"/>
    </row>
    <row r="569">
      <c r="D569" s="89"/>
    </row>
    <row r="570">
      <c r="D570" s="89"/>
    </row>
    <row r="571">
      <c r="D571" s="89"/>
    </row>
    <row r="572">
      <c r="D572" s="89"/>
    </row>
    <row r="573">
      <c r="D573" s="89"/>
    </row>
    <row r="574">
      <c r="D574" s="89"/>
    </row>
    <row r="575">
      <c r="D575" s="89"/>
    </row>
    <row r="576">
      <c r="D576" s="89"/>
    </row>
    <row r="577">
      <c r="D577" s="89"/>
    </row>
    <row r="578">
      <c r="D578" s="89"/>
    </row>
    <row r="579">
      <c r="D579" s="89"/>
    </row>
    <row r="580">
      <c r="D580" s="89"/>
    </row>
    <row r="581">
      <c r="D581" s="89"/>
    </row>
    <row r="582">
      <c r="D582" s="89"/>
    </row>
    <row r="583">
      <c r="D583" s="89"/>
    </row>
    <row r="584">
      <c r="D584" s="89"/>
    </row>
    <row r="585">
      <c r="D585" s="89"/>
    </row>
    <row r="586">
      <c r="D586" s="89"/>
    </row>
    <row r="587">
      <c r="D587" s="89"/>
    </row>
    <row r="588">
      <c r="D588" s="89"/>
    </row>
    <row r="589">
      <c r="D589" s="89"/>
    </row>
    <row r="590">
      <c r="D590" s="89"/>
    </row>
    <row r="591">
      <c r="D591" s="89"/>
    </row>
    <row r="592">
      <c r="D592" s="89"/>
    </row>
    <row r="593">
      <c r="D593" s="89"/>
    </row>
    <row r="594">
      <c r="D594" s="89"/>
    </row>
    <row r="595">
      <c r="D595" s="89"/>
    </row>
    <row r="596">
      <c r="D596" s="89"/>
    </row>
    <row r="597">
      <c r="D597" s="89"/>
    </row>
    <row r="598">
      <c r="D598" s="89"/>
    </row>
    <row r="599">
      <c r="D599" s="89"/>
    </row>
    <row r="600">
      <c r="D600" s="89"/>
    </row>
    <row r="601">
      <c r="D601" s="89"/>
    </row>
    <row r="602">
      <c r="D602" s="89"/>
    </row>
    <row r="603">
      <c r="D603" s="89"/>
    </row>
    <row r="604">
      <c r="D604" s="89"/>
    </row>
    <row r="605">
      <c r="D605" s="89"/>
    </row>
    <row r="606">
      <c r="D606" s="89"/>
    </row>
    <row r="607">
      <c r="D607" s="89"/>
    </row>
    <row r="608">
      <c r="D608" s="89"/>
    </row>
    <row r="609">
      <c r="D609" s="89"/>
    </row>
    <row r="610">
      <c r="D610" s="89"/>
    </row>
    <row r="611">
      <c r="D611" s="89"/>
    </row>
    <row r="612">
      <c r="D612" s="89"/>
    </row>
    <row r="613">
      <c r="D613" s="89"/>
    </row>
    <row r="614">
      <c r="D614" s="89"/>
    </row>
    <row r="615">
      <c r="D615" s="89"/>
    </row>
    <row r="616">
      <c r="D616" s="89"/>
    </row>
    <row r="617">
      <c r="D617" s="89"/>
    </row>
    <row r="618">
      <c r="D618" s="89"/>
    </row>
    <row r="619">
      <c r="D619" s="89"/>
    </row>
    <row r="620">
      <c r="D620" s="89"/>
    </row>
    <row r="621">
      <c r="D621" s="89"/>
    </row>
    <row r="622">
      <c r="D622" s="89"/>
    </row>
    <row r="623">
      <c r="D623" s="89"/>
    </row>
    <row r="624">
      <c r="D624" s="89"/>
    </row>
    <row r="625">
      <c r="D625" s="89"/>
    </row>
    <row r="626">
      <c r="D626" s="89"/>
    </row>
    <row r="627">
      <c r="D627" s="89"/>
    </row>
    <row r="628">
      <c r="D628" s="89"/>
    </row>
    <row r="629">
      <c r="D629" s="89"/>
    </row>
    <row r="630">
      <c r="D630" s="89"/>
    </row>
    <row r="631">
      <c r="D631" s="89"/>
    </row>
    <row r="632">
      <c r="D632" s="89"/>
    </row>
    <row r="633">
      <c r="D633" s="89"/>
    </row>
    <row r="634">
      <c r="D634" s="89"/>
    </row>
    <row r="635">
      <c r="D635" s="89"/>
    </row>
    <row r="636">
      <c r="D636" s="89"/>
    </row>
    <row r="637">
      <c r="D637" s="89"/>
    </row>
    <row r="638">
      <c r="D638" s="89"/>
    </row>
    <row r="639">
      <c r="D639" s="89"/>
    </row>
    <row r="640">
      <c r="D640" s="89"/>
    </row>
    <row r="641">
      <c r="D641" s="89"/>
    </row>
    <row r="642">
      <c r="D642" s="89"/>
    </row>
    <row r="643">
      <c r="D643" s="89"/>
    </row>
    <row r="644">
      <c r="D644" s="89"/>
    </row>
    <row r="645">
      <c r="D645" s="89"/>
    </row>
    <row r="646">
      <c r="D646" s="89"/>
    </row>
    <row r="647">
      <c r="D647" s="89"/>
    </row>
    <row r="648">
      <c r="D648" s="89"/>
    </row>
    <row r="649">
      <c r="D649" s="89"/>
    </row>
    <row r="650">
      <c r="D650" s="89"/>
    </row>
    <row r="651">
      <c r="D651" s="89"/>
    </row>
    <row r="652">
      <c r="D652" s="89"/>
    </row>
    <row r="653">
      <c r="D653" s="89"/>
    </row>
    <row r="654">
      <c r="D654" s="89"/>
    </row>
    <row r="655">
      <c r="D655" s="89"/>
    </row>
    <row r="656">
      <c r="D656" s="89"/>
    </row>
    <row r="657">
      <c r="D657" s="89"/>
    </row>
    <row r="658">
      <c r="D658" s="89"/>
    </row>
    <row r="659">
      <c r="D659" s="89"/>
    </row>
    <row r="660">
      <c r="D660" s="89"/>
    </row>
    <row r="661">
      <c r="D661" s="89"/>
    </row>
    <row r="662">
      <c r="D662" s="89"/>
    </row>
    <row r="663">
      <c r="D663" s="89"/>
    </row>
    <row r="664">
      <c r="D664" s="89"/>
    </row>
    <row r="665">
      <c r="D665" s="89"/>
    </row>
    <row r="666">
      <c r="D666" s="89"/>
    </row>
    <row r="667">
      <c r="D667" s="89"/>
    </row>
    <row r="668">
      <c r="D668" s="89"/>
    </row>
    <row r="669">
      <c r="D669" s="89"/>
    </row>
    <row r="670">
      <c r="D670" s="89"/>
    </row>
    <row r="671">
      <c r="D671" s="89"/>
    </row>
    <row r="672">
      <c r="D672" s="89"/>
    </row>
    <row r="673">
      <c r="D673" s="89"/>
    </row>
    <row r="674">
      <c r="D674" s="89"/>
    </row>
    <row r="675">
      <c r="D675" s="89"/>
    </row>
    <row r="676">
      <c r="D676" s="89"/>
    </row>
    <row r="677">
      <c r="D677" s="89"/>
    </row>
    <row r="678">
      <c r="D678" s="89"/>
    </row>
    <row r="679">
      <c r="D679" s="89"/>
    </row>
    <row r="680">
      <c r="D680" s="89"/>
    </row>
    <row r="681">
      <c r="D681" s="89"/>
    </row>
    <row r="682">
      <c r="D682" s="89"/>
    </row>
    <row r="683">
      <c r="D683" s="89"/>
    </row>
    <row r="684">
      <c r="D684" s="89"/>
    </row>
    <row r="685">
      <c r="D685" s="89"/>
    </row>
    <row r="686">
      <c r="D686" s="89"/>
    </row>
    <row r="687">
      <c r="D687" s="89"/>
    </row>
    <row r="688">
      <c r="D688" s="89"/>
    </row>
    <row r="689">
      <c r="D689" s="89"/>
    </row>
    <row r="690">
      <c r="D690" s="89"/>
    </row>
    <row r="691">
      <c r="D691" s="89"/>
    </row>
    <row r="692">
      <c r="D692" s="89"/>
    </row>
    <row r="693">
      <c r="D693" s="89"/>
    </row>
    <row r="694">
      <c r="D694" s="89"/>
    </row>
    <row r="695">
      <c r="D695" s="89"/>
    </row>
    <row r="696">
      <c r="D696" s="89"/>
    </row>
    <row r="697">
      <c r="D697" s="89"/>
    </row>
    <row r="698">
      <c r="D698" s="89"/>
    </row>
    <row r="699">
      <c r="D699" s="89"/>
    </row>
    <row r="700">
      <c r="D700" s="89"/>
    </row>
    <row r="701">
      <c r="D701" s="89"/>
    </row>
    <row r="702">
      <c r="D702" s="89"/>
    </row>
    <row r="703">
      <c r="D703" s="89"/>
    </row>
    <row r="704">
      <c r="D704" s="89"/>
    </row>
    <row r="705">
      <c r="D705" s="89"/>
    </row>
    <row r="706">
      <c r="D706" s="89"/>
    </row>
    <row r="707">
      <c r="D707" s="89"/>
    </row>
    <row r="708">
      <c r="D708" s="89"/>
    </row>
    <row r="709">
      <c r="D709" s="89"/>
    </row>
    <row r="710">
      <c r="D710" s="89"/>
    </row>
    <row r="711">
      <c r="D711" s="89"/>
    </row>
    <row r="712">
      <c r="D712" s="89"/>
    </row>
    <row r="713">
      <c r="D713" s="89"/>
    </row>
    <row r="714">
      <c r="D714" s="89"/>
    </row>
    <row r="715">
      <c r="D715" s="89"/>
    </row>
    <row r="716">
      <c r="D716" s="89"/>
    </row>
    <row r="717">
      <c r="D717" s="89"/>
    </row>
    <row r="718">
      <c r="D718" s="89"/>
    </row>
    <row r="719">
      <c r="D719" s="89"/>
    </row>
    <row r="720">
      <c r="D720" s="89"/>
    </row>
    <row r="721">
      <c r="D721" s="89"/>
    </row>
    <row r="722">
      <c r="D722" s="89"/>
    </row>
    <row r="723">
      <c r="D723" s="89"/>
    </row>
    <row r="724">
      <c r="D724" s="89"/>
    </row>
    <row r="725">
      <c r="D725" s="89"/>
    </row>
    <row r="726">
      <c r="D726" s="89"/>
    </row>
    <row r="727">
      <c r="D727" s="89"/>
    </row>
    <row r="728">
      <c r="D728" s="89"/>
    </row>
    <row r="729">
      <c r="D729" s="89"/>
    </row>
    <row r="730">
      <c r="D730" s="89"/>
    </row>
    <row r="731">
      <c r="D731" s="89"/>
    </row>
    <row r="732">
      <c r="D732" s="89"/>
    </row>
    <row r="733">
      <c r="D733" s="89"/>
    </row>
    <row r="734">
      <c r="D734" s="89"/>
    </row>
    <row r="735">
      <c r="D735" s="89"/>
    </row>
    <row r="736">
      <c r="D736" s="89"/>
    </row>
    <row r="737">
      <c r="D737" s="89"/>
    </row>
    <row r="738">
      <c r="D738" s="89"/>
    </row>
    <row r="739">
      <c r="D739" s="89"/>
    </row>
    <row r="740">
      <c r="D740" s="89"/>
    </row>
    <row r="741">
      <c r="D741" s="89"/>
    </row>
    <row r="742">
      <c r="D742" s="89"/>
    </row>
    <row r="743">
      <c r="D743" s="89"/>
    </row>
    <row r="744">
      <c r="D744" s="89"/>
    </row>
    <row r="745">
      <c r="D745" s="89"/>
    </row>
    <row r="746">
      <c r="D746" s="89"/>
    </row>
    <row r="747">
      <c r="D747" s="89"/>
    </row>
    <row r="748">
      <c r="D748" s="89"/>
    </row>
    <row r="749">
      <c r="D749" s="89"/>
    </row>
    <row r="750">
      <c r="D750" s="89"/>
    </row>
    <row r="751">
      <c r="D751" s="89"/>
    </row>
    <row r="752">
      <c r="D752" s="89"/>
    </row>
    <row r="753">
      <c r="D753" s="89"/>
    </row>
    <row r="754">
      <c r="D754" s="89"/>
    </row>
    <row r="755">
      <c r="D755" s="89"/>
    </row>
    <row r="756">
      <c r="D756" s="89"/>
    </row>
    <row r="757">
      <c r="D757" s="89"/>
    </row>
    <row r="758">
      <c r="D758" s="89"/>
    </row>
    <row r="759">
      <c r="D759" s="89"/>
    </row>
    <row r="760">
      <c r="D760" s="89"/>
    </row>
    <row r="761">
      <c r="D761" s="89"/>
    </row>
    <row r="762">
      <c r="D762" s="89"/>
    </row>
    <row r="763">
      <c r="D763" s="89"/>
    </row>
    <row r="764">
      <c r="D764" s="89"/>
    </row>
    <row r="765">
      <c r="D765" s="89"/>
    </row>
    <row r="766">
      <c r="D766" s="89"/>
    </row>
    <row r="767">
      <c r="D767" s="89"/>
    </row>
    <row r="768">
      <c r="D768" s="89"/>
    </row>
    <row r="769">
      <c r="D769" s="89"/>
    </row>
    <row r="770">
      <c r="D770" s="89"/>
    </row>
    <row r="771">
      <c r="D771" s="89"/>
    </row>
    <row r="772">
      <c r="D772" s="89"/>
    </row>
    <row r="773">
      <c r="D773" s="89"/>
    </row>
    <row r="774">
      <c r="D774" s="89"/>
    </row>
    <row r="775">
      <c r="D775" s="89"/>
    </row>
    <row r="776">
      <c r="D776" s="89"/>
    </row>
    <row r="777">
      <c r="D777" s="89"/>
    </row>
    <row r="778">
      <c r="D778" s="89"/>
    </row>
    <row r="779">
      <c r="D779" s="89"/>
    </row>
    <row r="780">
      <c r="D780" s="89"/>
    </row>
    <row r="781">
      <c r="D781" s="89"/>
    </row>
    <row r="782">
      <c r="D782" s="89"/>
    </row>
    <row r="783">
      <c r="D783" s="89"/>
    </row>
    <row r="784">
      <c r="D784" s="89"/>
    </row>
    <row r="785">
      <c r="D785" s="89"/>
    </row>
    <row r="786">
      <c r="D786" s="89"/>
    </row>
    <row r="787">
      <c r="D787" s="89"/>
    </row>
    <row r="788">
      <c r="D788" s="89"/>
    </row>
    <row r="789">
      <c r="D789" s="89"/>
    </row>
    <row r="790">
      <c r="D790" s="89"/>
    </row>
    <row r="791">
      <c r="D791" s="89"/>
    </row>
    <row r="792">
      <c r="D792" s="89"/>
    </row>
    <row r="793">
      <c r="D793" s="89"/>
    </row>
    <row r="794">
      <c r="D794" s="89"/>
    </row>
    <row r="795">
      <c r="D795" s="89"/>
    </row>
    <row r="796">
      <c r="D796" s="89"/>
    </row>
    <row r="797">
      <c r="D797" s="89"/>
    </row>
    <row r="798">
      <c r="D798" s="89"/>
    </row>
    <row r="799">
      <c r="D799" s="89"/>
    </row>
    <row r="800">
      <c r="D800" s="89"/>
    </row>
    <row r="801">
      <c r="D801" s="89"/>
    </row>
    <row r="802">
      <c r="D802" s="89"/>
    </row>
    <row r="803">
      <c r="D803" s="89"/>
    </row>
    <row r="804">
      <c r="D804" s="89"/>
    </row>
    <row r="805">
      <c r="D805" s="89"/>
    </row>
    <row r="806">
      <c r="D806" s="89"/>
    </row>
    <row r="807">
      <c r="D807" s="89"/>
    </row>
    <row r="808">
      <c r="D808" s="89"/>
    </row>
    <row r="809">
      <c r="D809" s="89"/>
    </row>
    <row r="810">
      <c r="D810" s="89"/>
    </row>
    <row r="811">
      <c r="D811" s="89"/>
    </row>
    <row r="812">
      <c r="D812" s="89"/>
    </row>
    <row r="813">
      <c r="D813" s="89"/>
    </row>
    <row r="814">
      <c r="D814" s="89"/>
    </row>
    <row r="815">
      <c r="D815" s="89"/>
    </row>
    <row r="816">
      <c r="D816" s="89"/>
    </row>
    <row r="817">
      <c r="D817" s="89"/>
    </row>
    <row r="818">
      <c r="D818" s="89"/>
    </row>
    <row r="819">
      <c r="D819" s="89"/>
    </row>
    <row r="820">
      <c r="D820" s="89"/>
    </row>
    <row r="821">
      <c r="D821" s="89"/>
    </row>
    <row r="822">
      <c r="D822" s="89"/>
    </row>
    <row r="823">
      <c r="D823" s="89"/>
    </row>
    <row r="824">
      <c r="D824" s="89"/>
    </row>
    <row r="825">
      <c r="D825" s="89"/>
    </row>
    <row r="826">
      <c r="D826" s="89"/>
    </row>
    <row r="827">
      <c r="D827" s="89"/>
    </row>
    <row r="828">
      <c r="D828" s="89"/>
    </row>
    <row r="829">
      <c r="D829" s="89"/>
    </row>
    <row r="830">
      <c r="D830" s="89"/>
    </row>
    <row r="831">
      <c r="D831" s="89"/>
    </row>
    <row r="832">
      <c r="D832" s="89"/>
    </row>
    <row r="833">
      <c r="D833" s="89"/>
    </row>
    <row r="834">
      <c r="D834" s="89"/>
    </row>
    <row r="835">
      <c r="D835" s="89"/>
    </row>
    <row r="836">
      <c r="D836" s="89"/>
    </row>
    <row r="837">
      <c r="D837" s="89"/>
    </row>
    <row r="838">
      <c r="D838" s="89"/>
    </row>
    <row r="839">
      <c r="D839" s="89"/>
    </row>
    <row r="840">
      <c r="D840" s="89"/>
    </row>
    <row r="841">
      <c r="D841" s="89"/>
    </row>
    <row r="842">
      <c r="D842" s="89"/>
    </row>
    <row r="843">
      <c r="D843" s="89"/>
    </row>
    <row r="844">
      <c r="D844" s="89"/>
    </row>
    <row r="845">
      <c r="D845" s="89"/>
    </row>
    <row r="846">
      <c r="D846" s="89"/>
    </row>
    <row r="847">
      <c r="D847" s="89"/>
    </row>
    <row r="848">
      <c r="D848" s="89"/>
    </row>
    <row r="849">
      <c r="D849" s="89"/>
    </row>
    <row r="850">
      <c r="D850" s="89"/>
    </row>
    <row r="851">
      <c r="D851" s="89"/>
    </row>
    <row r="852">
      <c r="D852" s="89"/>
    </row>
    <row r="853">
      <c r="D853" s="89"/>
    </row>
    <row r="854">
      <c r="D854" s="89"/>
    </row>
    <row r="855">
      <c r="D855" s="89"/>
    </row>
    <row r="856">
      <c r="D856" s="89"/>
    </row>
    <row r="857">
      <c r="D857" s="89"/>
    </row>
    <row r="858">
      <c r="D858" s="89"/>
    </row>
    <row r="859">
      <c r="D859" s="89"/>
    </row>
    <row r="860">
      <c r="D860" s="89"/>
    </row>
    <row r="861">
      <c r="D861" s="89"/>
    </row>
    <row r="862">
      <c r="D862" s="89"/>
    </row>
    <row r="863">
      <c r="D863" s="89"/>
    </row>
    <row r="864">
      <c r="D864" s="89"/>
    </row>
    <row r="865">
      <c r="D865" s="89"/>
    </row>
    <row r="866">
      <c r="D866" s="89"/>
    </row>
    <row r="867">
      <c r="D867" s="89"/>
    </row>
    <row r="868">
      <c r="D868" s="89"/>
    </row>
    <row r="869">
      <c r="D869" s="89"/>
    </row>
    <row r="870">
      <c r="D870" s="89"/>
    </row>
    <row r="871">
      <c r="D871" s="89"/>
    </row>
    <row r="872">
      <c r="D872" s="89"/>
    </row>
    <row r="873">
      <c r="D873" s="89"/>
    </row>
    <row r="874">
      <c r="D874" s="89"/>
    </row>
    <row r="875">
      <c r="D875" s="89"/>
    </row>
    <row r="876">
      <c r="D876" s="89"/>
    </row>
    <row r="877">
      <c r="D877" s="89"/>
    </row>
    <row r="878">
      <c r="D878" s="89"/>
    </row>
    <row r="879">
      <c r="D879" s="89"/>
    </row>
    <row r="880">
      <c r="D880" s="89"/>
    </row>
    <row r="881">
      <c r="D881" s="89"/>
    </row>
    <row r="882">
      <c r="D882" s="89"/>
    </row>
    <row r="883">
      <c r="D883" s="89"/>
    </row>
    <row r="884">
      <c r="D884" s="89"/>
    </row>
    <row r="885">
      <c r="D885" s="89"/>
    </row>
    <row r="886">
      <c r="D886" s="89"/>
    </row>
    <row r="887">
      <c r="D887" s="89"/>
    </row>
    <row r="888">
      <c r="D888" s="89"/>
    </row>
    <row r="889">
      <c r="D889" s="89"/>
    </row>
    <row r="890">
      <c r="D890" s="89"/>
    </row>
    <row r="891">
      <c r="D891" s="89"/>
    </row>
    <row r="892">
      <c r="D892" s="89"/>
    </row>
    <row r="893">
      <c r="D893" s="89"/>
    </row>
    <row r="894">
      <c r="D894" s="89"/>
    </row>
    <row r="895">
      <c r="D895" s="89"/>
    </row>
    <row r="896">
      <c r="D896" s="89"/>
    </row>
    <row r="897">
      <c r="D897" s="89"/>
    </row>
    <row r="898">
      <c r="D898" s="89"/>
    </row>
    <row r="899">
      <c r="D899" s="89"/>
    </row>
    <row r="900">
      <c r="D900" s="89"/>
    </row>
    <row r="901">
      <c r="D901" s="89"/>
    </row>
    <row r="902">
      <c r="D902" s="89"/>
    </row>
    <row r="903">
      <c r="D903" s="89"/>
    </row>
    <row r="904">
      <c r="D904" s="89"/>
    </row>
    <row r="905">
      <c r="D905" s="89"/>
    </row>
    <row r="906">
      <c r="D906" s="89"/>
    </row>
    <row r="907">
      <c r="D907" s="89"/>
    </row>
    <row r="908">
      <c r="D908" s="89"/>
    </row>
    <row r="909">
      <c r="D909" s="89"/>
    </row>
    <row r="910">
      <c r="D910" s="89"/>
    </row>
    <row r="911">
      <c r="D911" s="89"/>
    </row>
    <row r="912">
      <c r="D912" s="89"/>
    </row>
    <row r="913">
      <c r="D913" s="89"/>
    </row>
    <row r="914">
      <c r="D914" s="89"/>
    </row>
    <row r="915">
      <c r="D915" s="89"/>
    </row>
    <row r="916">
      <c r="D916" s="89"/>
    </row>
    <row r="917">
      <c r="D917" s="89"/>
    </row>
    <row r="918">
      <c r="D918" s="89"/>
    </row>
    <row r="919">
      <c r="D919" s="89"/>
    </row>
    <row r="920">
      <c r="D920" s="89"/>
    </row>
    <row r="921">
      <c r="D921" s="89"/>
    </row>
    <row r="922">
      <c r="D922" s="89"/>
    </row>
    <row r="923">
      <c r="D923" s="89"/>
    </row>
    <row r="924">
      <c r="D924" s="89"/>
    </row>
    <row r="925">
      <c r="D925" s="89"/>
    </row>
    <row r="926">
      <c r="D926" s="89"/>
    </row>
    <row r="927">
      <c r="D927" s="89"/>
    </row>
    <row r="928">
      <c r="D928" s="89"/>
    </row>
    <row r="929">
      <c r="D929" s="89"/>
    </row>
    <row r="930">
      <c r="D930" s="89"/>
    </row>
    <row r="931">
      <c r="D931" s="89"/>
    </row>
    <row r="932">
      <c r="D932" s="89"/>
    </row>
    <row r="933">
      <c r="D933" s="89"/>
    </row>
    <row r="934">
      <c r="D934" s="89"/>
    </row>
    <row r="935">
      <c r="D935" s="89"/>
    </row>
    <row r="936">
      <c r="D936" s="89"/>
    </row>
    <row r="937">
      <c r="D937" s="89"/>
    </row>
    <row r="938">
      <c r="D938" s="89"/>
    </row>
    <row r="939">
      <c r="D939" s="89"/>
    </row>
    <row r="940">
      <c r="D940" s="89"/>
    </row>
    <row r="941">
      <c r="D941" s="89"/>
    </row>
    <row r="942">
      <c r="D942" s="89"/>
    </row>
    <row r="943">
      <c r="D943" s="89"/>
    </row>
    <row r="944">
      <c r="D944" s="89"/>
    </row>
    <row r="945">
      <c r="D945" s="89"/>
    </row>
    <row r="946">
      <c r="D946" s="89"/>
    </row>
    <row r="947">
      <c r="D947" s="89"/>
    </row>
    <row r="948">
      <c r="D948" s="89"/>
    </row>
    <row r="949">
      <c r="D949" s="89"/>
    </row>
    <row r="950">
      <c r="D950" s="89"/>
    </row>
    <row r="951">
      <c r="D951" s="89"/>
    </row>
    <row r="952">
      <c r="D952" s="89"/>
    </row>
    <row r="953">
      <c r="D953" s="89"/>
    </row>
    <row r="954">
      <c r="D954" s="89"/>
    </row>
    <row r="955">
      <c r="D955" s="89"/>
    </row>
    <row r="956">
      <c r="D956" s="89"/>
    </row>
    <row r="957">
      <c r="D957" s="89"/>
    </row>
    <row r="958">
      <c r="D958" s="89"/>
    </row>
    <row r="959">
      <c r="D959" s="89"/>
    </row>
    <row r="960">
      <c r="D960" s="89"/>
    </row>
    <row r="961">
      <c r="D961" s="89"/>
    </row>
    <row r="962">
      <c r="D962" s="89"/>
    </row>
    <row r="963">
      <c r="D963" s="89"/>
    </row>
    <row r="964">
      <c r="D964" s="89"/>
    </row>
    <row r="965">
      <c r="D965" s="89"/>
    </row>
    <row r="966">
      <c r="D966" s="89"/>
    </row>
    <row r="967">
      <c r="D967" s="89"/>
    </row>
    <row r="968">
      <c r="D968" s="89"/>
    </row>
    <row r="969">
      <c r="D969" s="89"/>
    </row>
    <row r="970">
      <c r="D970" s="89"/>
    </row>
    <row r="971">
      <c r="D971" s="89"/>
    </row>
    <row r="972">
      <c r="D972" s="89"/>
    </row>
    <row r="973">
      <c r="D973" s="89"/>
    </row>
    <row r="974">
      <c r="D974" s="89"/>
    </row>
    <row r="975">
      <c r="D975" s="89"/>
    </row>
    <row r="976">
      <c r="D976" s="89"/>
    </row>
    <row r="977">
      <c r="D977" s="89"/>
    </row>
    <row r="978">
      <c r="D978" s="89"/>
    </row>
    <row r="979">
      <c r="D979" s="89"/>
    </row>
    <row r="980">
      <c r="D980" s="89"/>
    </row>
    <row r="981">
      <c r="D981" s="89"/>
    </row>
    <row r="982">
      <c r="D982" s="89"/>
    </row>
    <row r="983">
      <c r="D983" s="89"/>
    </row>
    <row r="984">
      <c r="D984" s="89"/>
    </row>
    <row r="985">
      <c r="D985" s="89"/>
    </row>
    <row r="986">
      <c r="D986" s="89"/>
    </row>
    <row r="987">
      <c r="D987" s="89"/>
    </row>
    <row r="988">
      <c r="D988" s="89"/>
    </row>
    <row r="989">
      <c r="D989" s="89"/>
    </row>
    <row r="990">
      <c r="D990" s="89"/>
    </row>
    <row r="991">
      <c r="D991" s="89"/>
    </row>
    <row r="992">
      <c r="D992" s="89"/>
    </row>
    <row r="993">
      <c r="D993" s="89"/>
    </row>
    <row r="994">
      <c r="D994" s="89"/>
    </row>
    <row r="995">
      <c r="D995" s="89"/>
    </row>
    <row r="996">
      <c r="D996" s="89"/>
    </row>
    <row r="997">
      <c r="D997" s="89"/>
    </row>
    <row r="998">
      <c r="D998" s="89"/>
    </row>
    <row r="999">
      <c r="D999" s="89"/>
    </row>
    <row r="1000">
      <c r="D1000" s="89"/>
    </row>
    <row r="1001">
      <c r="D1001" s="89"/>
    </row>
    <row r="1002">
      <c r="D1002" s="89"/>
    </row>
    <row r="1003">
      <c r="D1003" s="89"/>
    </row>
  </sheetData>
  <mergeCells count="11">
    <mergeCell ref="I2:I3"/>
    <mergeCell ref="J2:J3"/>
    <mergeCell ref="K2:K3"/>
    <mergeCell ref="L2:L3"/>
    <mergeCell ref="A1:G1"/>
    <mergeCell ref="H1:H2"/>
    <mergeCell ref="I1:L1"/>
    <mergeCell ref="A2:A3"/>
    <mergeCell ref="B2:B3"/>
    <mergeCell ref="C2:C3"/>
    <mergeCell ref="D2: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6.38"/>
    <col customWidth="1" min="3" max="3" width="13.0"/>
    <col customWidth="1" min="4" max="4" width="12.63"/>
    <col customWidth="1" min="5" max="5" width="13.63"/>
    <col customWidth="1" min="6" max="6" width="12.63"/>
    <col customWidth="1" min="7" max="7" width="26.75"/>
    <col customWidth="1" min="8" max="8" width="13.63"/>
    <col customWidth="1" min="9" max="10" width="6.25"/>
    <col customWidth="1" min="11" max="11" width="6.38"/>
    <col customWidth="1" min="12" max="12" width="7.38"/>
  </cols>
  <sheetData>
    <row r="1">
      <c r="A1" s="3" t="s">
        <v>183</v>
      </c>
      <c r="B1" s="5"/>
      <c r="C1" s="5"/>
      <c r="D1" s="5"/>
      <c r="E1" s="5"/>
      <c r="F1" s="5"/>
      <c r="G1" s="6"/>
      <c r="H1" s="8" t="s">
        <v>17</v>
      </c>
      <c r="I1" s="76" t="s">
        <v>18</v>
      </c>
      <c r="J1" s="5"/>
      <c r="K1" s="5"/>
      <c r="L1" s="6"/>
    </row>
    <row r="2">
      <c r="A2" s="14" t="s">
        <v>21</v>
      </c>
      <c r="B2" s="14" t="s">
        <v>22</v>
      </c>
      <c r="C2" s="14" t="s">
        <v>24</v>
      </c>
      <c r="D2" s="77" t="s">
        <v>26</v>
      </c>
      <c r="E2" s="5"/>
      <c r="F2" s="5"/>
      <c r="G2" s="6"/>
      <c r="H2" s="15"/>
      <c r="I2" s="78" t="s">
        <v>29</v>
      </c>
      <c r="J2" s="78" t="s">
        <v>30</v>
      </c>
      <c r="K2" s="78" t="s">
        <v>31</v>
      </c>
      <c r="L2" s="78" t="s">
        <v>32</v>
      </c>
    </row>
    <row r="3">
      <c r="A3" s="15"/>
      <c r="B3" s="15"/>
      <c r="C3" s="15"/>
      <c r="D3" s="79" t="s">
        <v>34</v>
      </c>
      <c r="E3" s="25" t="s">
        <v>35</v>
      </c>
      <c r="F3" s="25" t="s">
        <v>36</v>
      </c>
      <c r="G3" s="25" t="s">
        <v>37</v>
      </c>
      <c r="H3" s="152"/>
      <c r="I3" s="15"/>
      <c r="J3" s="15"/>
      <c r="K3" s="15"/>
      <c r="L3" s="15"/>
    </row>
    <row r="4">
      <c r="A4" s="31">
        <v>1.0</v>
      </c>
      <c r="B4" s="31" t="s">
        <v>184</v>
      </c>
      <c r="C4" s="40"/>
      <c r="D4" s="153">
        <v>4250.0</v>
      </c>
      <c r="E4" s="31">
        <v>4250.0</v>
      </c>
      <c r="F4" s="154">
        <f t="shared" ref="F4:F10" si="1">D4-E4</f>
        <v>0</v>
      </c>
      <c r="G4" s="31"/>
      <c r="H4" s="146" t="s">
        <v>45</v>
      </c>
      <c r="I4" s="31" t="s">
        <v>107</v>
      </c>
      <c r="J4" s="31" t="s">
        <v>107</v>
      </c>
      <c r="K4" s="31" t="s">
        <v>108</v>
      </c>
      <c r="L4" s="31" t="s">
        <v>107</v>
      </c>
    </row>
    <row r="5">
      <c r="A5" s="31">
        <v>2.0</v>
      </c>
      <c r="B5" s="31" t="s">
        <v>185</v>
      </c>
      <c r="C5" s="40"/>
      <c r="D5" s="153">
        <v>3910.0</v>
      </c>
      <c r="E5" s="31">
        <v>3910.0</v>
      </c>
      <c r="F5" s="154">
        <f t="shared" si="1"/>
        <v>0</v>
      </c>
      <c r="G5" s="31" t="s">
        <v>186</v>
      </c>
      <c r="H5" s="146" t="s">
        <v>142</v>
      </c>
      <c r="I5" s="31" t="s">
        <v>107</v>
      </c>
      <c r="J5" s="31" t="s">
        <v>107</v>
      </c>
      <c r="K5" s="31" t="s">
        <v>108</v>
      </c>
      <c r="L5" s="31" t="s">
        <v>107</v>
      </c>
    </row>
    <row r="6">
      <c r="A6" s="31">
        <v>3.0</v>
      </c>
      <c r="B6" s="31" t="s">
        <v>187</v>
      </c>
      <c r="C6" s="40"/>
      <c r="D6" s="153">
        <v>4250.0</v>
      </c>
      <c r="E6" s="31">
        <v>4250.0</v>
      </c>
      <c r="F6" s="154">
        <f t="shared" si="1"/>
        <v>0</v>
      </c>
      <c r="G6" s="40"/>
      <c r="H6" s="146" t="s">
        <v>142</v>
      </c>
      <c r="I6" s="31" t="s">
        <v>107</v>
      </c>
      <c r="J6" s="31" t="s">
        <v>107</v>
      </c>
      <c r="K6" s="31" t="s">
        <v>108</v>
      </c>
      <c r="L6" s="31" t="s">
        <v>107</v>
      </c>
    </row>
    <row r="7">
      <c r="A7" s="31">
        <v>4.0</v>
      </c>
      <c r="B7" s="155" t="s">
        <v>189</v>
      </c>
      <c r="C7" s="40"/>
      <c r="D7" s="153">
        <v>4250.0</v>
      </c>
      <c r="E7" s="31">
        <v>4250.0</v>
      </c>
      <c r="F7" s="154">
        <f t="shared" si="1"/>
        <v>0</v>
      </c>
      <c r="G7" s="31"/>
      <c r="H7" s="146" t="s">
        <v>41</v>
      </c>
      <c r="I7" s="31" t="s">
        <v>107</v>
      </c>
      <c r="J7" s="31" t="s">
        <v>107</v>
      </c>
      <c r="K7" s="31" t="s">
        <v>108</v>
      </c>
      <c r="L7" s="31" t="s">
        <v>107</v>
      </c>
    </row>
    <row r="8">
      <c r="A8" s="31">
        <v>5.0</v>
      </c>
      <c r="B8" s="156" t="s">
        <v>144</v>
      </c>
      <c r="C8" s="40"/>
      <c r="D8" s="153">
        <v>4250.0</v>
      </c>
      <c r="E8" s="31">
        <v>4250.0</v>
      </c>
      <c r="F8" s="154">
        <f t="shared" si="1"/>
        <v>0</v>
      </c>
      <c r="G8" s="31"/>
      <c r="H8" s="146" t="s">
        <v>41</v>
      </c>
      <c r="I8" s="31" t="s">
        <v>107</v>
      </c>
      <c r="J8" s="31" t="s">
        <v>107</v>
      </c>
      <c r="K8" s="31" t="s">
        <v>107</v>
      </c>
      <c r="L8" s="31" t="s">
        <v>107</v>
      </c>
    </row>
    <row r="9">
      <c r="A9" s="31">
        <v>6.0</v>
      </c>
      <c r="B9" s="156" t="s">
        <v>190</v>
      </c>
      <c r="C9" s="40"/>
      <c r="D9" s="153">
        <v>4250.0</v>
      </c>
      <c r="E9" s="31">
        <v>4250.0</v>
      </c>
      <c r="F9" s="154">
        <f t="shared" si="1"/>
        <v>0</v>
      </c>
      <c r="G9" s="31" t="s">
        <v>191</v>
      </c>
      <c r="H9" s="146" t="s">
        <v>41</v>
      </c>
      <c r="I9" s="31" t="s">
        <v>107</v>
      </c>
      <c r="J9" s="31" t="s">
        <v>108</v>
      </c>
      <c r="K9" s="31" t="s">
        <v>108</v>
      </c>
      <c r="L9" s="31" t="s">
        <v>107</v>
      </c>
    </row>
    <row r="10">
      <c r="A10" s="31">
        <v>7.0</v>
      </c>
      <c r="B10" s="155" t="s">
        <v>192</v>
      </c>
      <c r="C10" s="40"/>
      <c r="D10" s="153">
        <v>4250.0</v>
      </c>
      <c r="E10" s="31">
        <v>4250.0</v>
      </c>
      <c r="F10" s="154">
        <f t="shared" si="1"/>
        <v>0</v>
      </c>
      <c r="G10" s="31"/>
      <c r="H10" s="146"/>
      <c r="I10" s="31" t="s">
        <v>107</v>
      </c>
      <c r="J10" s="31" t="s">
        <v>193</v>
      </c>
      <c r="K10" s="31" t="s">
        <v>193</v>
      </c>
      <c r="L10" s="31" t="s">
        <v>119</v>
      </c>
    </row>
    <row r="11">
      <c r="D11" s="89"/>
    </row>
    <row r="12">
      <c r="D12" s="89"/>
    </row>
    <row r="13">
      <c r="B13" s="55" t="s">
        <v>128</v>
      </c>
      <c r="D13" s="89"/>
      <c r="E13" s="71">
        <f>SUM(E4:E12)</f>
        <v>29410</v>
      </c>
    </row>
    <row r="14">
      <c r="D14" s="89"/>
    </row>
    <row r="15">
      <c r="D15" s="89"/>
    </row>
    <row r="16">
      <c r="D16" s="89"/>
    </row>
    <row r="17">
      <c r="D17" s="89"/>
    </row>
    <row r="18">
      <c r="D18" s="89"/>
    </row>
    <row r="19">
      <c r="D19" s="89"/>
    </row>
    <row r="20">
      <c r="D20" s="89"/>
    </row>
    <row r="21">
      <c r="D21" s="89"/>
    </row>
    <row r="22">
      <c r="D22" s="89"/>
    </row>
    <row r="23">
      <c r="D23" s="89"/>
    </row>
    <row r="24">
      <c r="D24" s="89"/>
    </row>
    <row r="25">
      <c r="D25" s="89"/>
    </row>
    <row r="26">
      <c r="D26" s="89"/>
    </row>
    <row r="27">
      <c r="D27" s="89"/>
    </row>
    <row r="28">
      <c r="D28" s="89"/>
    </row>
    <row r="29">
      <c r="D29" s="89"/>
    </row>
    <row r="30">
      <c r="D30" s="89"/>
    </row>
    <row r="31">
      <c r="D31" s="89"/>
    </row>
    <row r="32">
      <c r="D32" s="89"/>
    </row>
    <row r="33">
      <c r="D33" s="89"/>
    </row>
    <row r="34">
      <c r="D34" s="89"/>
    </row>
    <row r="35">
      <c r="D35" s="89"/>
    </row>
    <row r="36">
      <c r="D36" s="89"/>
    </row>
    <row r="37">
      <c r="D37" s="89"/>
    </row>
    <row r="38">
      <c r="D38" s="89"/>
    </row>
    <row r="39">
      <c r="D39" s="89"/>
    </row>
    <row r="40">
      <c r="D40" s="89"/>
    </row>
    <row r="41">
      <c r="D41" s="89"/>
    </row>
    <row r="42">
      <c r="D42" s="89"/>
    </row>
    <row r="43">
      <c r="D43" s="89"/>
    </row>
    <row r="44">
      <c r="D44" s="89"/>
    </row>
    <row r="45">
      <c r="D45" s="89"/>
    </row>
    <row r="46">
      <c r="D46" s="89"/>
    </row>
    <row r="47">
      <c r="D47" s="89"/>
    </row>
    <row r="48">
      <c r="D48" s="89"/>
    </row>
    <row r="49">
      <c r="D49" s="89"/>
    </row>
    <row r="50">
      <c r="D50" s="89"/>
    </row>
    <row r="51">
      <c r="D51" s="89"/>
    </row>
    <row r="52">
      <c r="D52" s="89"/>
    </row>
    <row r="53">
      <c r="D53" s="89"/>
    </row>
    <row r="54">
      <c r="D54" s="89"/>
    </row>
    <row r="55">
      <c r="D55" s="89"/>
    </row>
    <row r="56">
      <c r="D56" s="89"/>
    </row>
    <row r="57">
      <c r="D57" s="89"/>
    </row>
    <row r="58">
      <c r="D58" s="89"/>
    </row>
    <row r="59">
      <c r="D59" s="89"/>
    </row>
    <row r="60">
      <c r="D60" s="89"/>
    </row>
    <row r="61">
      <c r="D61" s="89"/>
    </row>
    <row r="62">
      <c r="D62" s="89"/>
    </row>
    <row r="63">
      <c r="D63" s="89"/>
    </row>
    <row r="64">
      <c r="D64" s="89"/>
    </row>
    <row r="65">
      <c r="D65" s="89"/>
    </row>
    <row r="66">
      <c r="D66" s="89"/>
    </row>
    <row r="67">
      <c r="D67" s="89"/>
    </row>
    <row r="68">
      <c r="D68" s="89"/>
    </row>
    <row r="69">
      <c r="D69" s="89"/>
    </row>
    <row r="70">
      <c r="D70" s="89"/>
    </row>
    <row r="71">
      <c r="D71" s="89"/>
    </row>
    <row r="72">
      <c r="D72" s="89"/>
    </row>
    <row r="73">
      <c r="D73" s="89"/>
    </row>
    <row r="74">
      <c r="D74" s="89"/>
    </row>
    <row r="75">
      <c r="D75" s="89"/>
    </row>
    <row r="76">
      <c r="D76" s="89"/>
    </row>
    <row r="77">
      <c r="D77" s="89"/>
    </row>
    <row r="78">
      <c r="D78" s="89"/>
    </row>
    <row r="79">
      <c r="D79" s="89"/>
    </row>
    <row r="80">
      <c r="D80" s="89"/>
    </row>
    <row r="81">
      <c r="D81" s="89"/>
    </row>
    <row r="82">
      <c r="D82" s="89"/>
    </row>
    <row r="83">
      <c r="D83" s="89"/>
    </row>
    <row r="84">
      <c r="D84" s="89"/>
    </row>
    <row r="85">
      <c r="D85" s="89"/>
    </row>
    <row r="86">
      <c r="D86" s="89"/>
    </row>
    <row r="87">
      <c r="D87" s="89"/>
    </row>
    <row r="88">
      <c r="D88" s="89"/>
    </row>
    <row r="89">
      <c r="D89" s="89"/>
    </row>
    <row r="90">
      <c r="D90" s="89"/>
    </row>
    <row r="91">
      <c r="D91" s="89"/>
    </row>
    <row r="92">
      <c r="D92" s="89"/>
    </row>
    <row r="93">
      <c r="D93" s="89"/>
    </row>
    <row r="94">
      <c r="D94" s="89"/>
    </row>
    <row r="95">
      <c r="D95" s="89"/>
    </row>
    <row r="96">
      <c r="D96" s="89"/>
    </row>
    <row r="97">
      <c r="D97" s="89"/>
    </row>
    <row r="98">
      <c r="D98" s="89"/>
    </row>
    <row r="99">
      <c r="D99" s="89"/>
    </row>
    <row r="100">
      <c r="D100" s="89"/>
    </row>
    <row r="101">
      <c r="D101" s="89"/>
    </row>
    <row r="102">
      <c r="D102" s="89"/>
    </row>
    <row r="103">
      <c r="D103" s="89"/>
    </row>
    <row r="104">
      <c r="D104" s="89"/>
    </row>
    <row r="105">
      <c r="D105" s="89"/>
    </row>
    <row r="106">
      <c r="D106" s="89"/>
    </row>
    <row r="107">
      <c r="D107" s="89"/>
    </row>
    <row r="108">
      <c r="D108" s="89"/>
    </row>
    <row r="109">
      <c r="D109" s="89"/>
    </row>
    <row r="110">
      <c r="D110" s="89"/>
    </row>
    <row r="111">
      <c r="D111" s="89"/>
    </row>
    <row r="112">
      <c r="D112" s="89"/>
    </row>
    <row r="113">
      <c r="D113" s="89"/>
    </row>
    <row r="114">
      <c r="D114" s="89"/>
    </row>
    <row r="115">
      <c r="D115" s="89"/>
    </row>
    <row r="116">
      <c r="D116" s="89"/>
    </row>
    <row r="117">
      <c r="D117" s="89"/>
    </row>
    <row r="118">
      <c r="D118" s="89"/>
    </row>
    <row r="119">
      <c r="D119" s="89"/>
    </row>
    <row r="120">
      <c r="D120" s="89"/>
    </row>
    <row r="121">
      <c r="D121" s="89"/>
    </row>
    <row r="122">
      <c r="D122" s="89"/>
    </row>
    <row r="123">
      <c r="D123" s="89"/>
    </row>
    <row r="124">
      <c r="D124" s="89"/>
    </row>
    <row r="125">
      <c r="D125" s="89"/>
    </row>
    <row r="126">
      <c r="D126" s="89"/>
    </row>
    <row r="127">
      <c r="D127" s="89"/>
    </row>
    <row r="128">
      <c r="D128" s="89"/>
    </row>
    <row r="129">
      <c r="D129" s="89"/>
    </row>
    <row r="130">
      <c r="D130" s="89"/>
    </row>
    <row r="131">
      <c r="D131" s="89"/>
    </row>
    <row r="132">
      <c r="D132" s="89"/>
    </row>
    <row r="133">
      <c r="D133" s="89"/>
    </row>
    <row r="134">
      <c r="D134" s="89"/>
    </row>
    <row r="135">
      <c r="D135" s="89"/>
    </row>
    <row r="136">
      <c r="D136" s="89"/>
    </row>
    <row r="137">
      <c r="D137" s="89"/>
    </row>
    <row r="138">
      <c r="D138" s="89"/>
    </row>
    <row r="139">
      <c r="D139" s="89"/>
    </row>
    <row r="140">
      <c r="D140" s="89"/>
    </row>
    <row r="141">
      <c r="D141" s="89"/>
    </row>
    <row r="142">
      <c r="D142" s="89"/>
    </row>
    <row r="143">
      <c r="D143" s="89"/>
    </row>
    <row r="144">
      <c r="D144" s="89"/>
    </row>
    <row r="145">
      <c r="D145" s="89"/>
    </row>
    <row r="146">
      <c r="D146" s="89"/>
    </row>
    <row r="147">
      <c r="D147" s="89"/>
    </row>
    <row r="148">
      <c r="D148" s="89"/>
    </row>
    <row r="149">
      <c r="D149" s="89"/>
    </row>
    <row r="150">
      <c r="D150" s="89"/>
    </row>
    <row r="151">
      <c r="D151" s="89"/>
    </row>
    <row r="152">
      <c r="D152" s="89"/>
    </row>
    <row r="153">
      <c r="D153" s="89"/>
    </row>
    <row r="154">
      <c r="D154" s="89"/>
    </row>
    <row r="155">
      <c r="D155" s="89"/>
    </row>
    <row r="156">
      <c r="D156" s="89"/>
    </row>
    <row r="157">
      <c r="D157" s="89"/>
    </row>
    <row r="158">
      <c r="D158" s="89"/>
    </row>
    <row r="159">
      <c r="D159" s="89"/>
    </row>
    <row r="160">
      <c r="D160" s="89"/>
    </row>
    <row r="161">
      <c r="D161" s="89"/>
    </row>
    <row r="162">
      <c r="D162" s="89"/>
    </row>
    <row r="163">
      <c r="D163" s="89"/>
    </row>
    <row r="164">
      <c r="D164" s="89"/>
    </row>
    <row r="165">
      <c r="D165" s="89"/>
    </row>
    <row r="166">
      <c r="D166" s="89"/>
    </row>
    <row r="167">
      <c r="D167" s="89"/>
    </row>
    <row r="168">
      <c r="D168" s="89"/>
    </row>
    <row r="169">
      <c r="D169" s="89"/>
    </row>
    <row r="170">
      <c r="D170" s="89"/>
    </row>
    <row r="171">
      <c r="D171" s="89"/>
    </row>
    <row r="172">
      <c r="D172" s="89"/>
    </row>
    <row r="173">
      <c r="D173" s="89"/>
    </row>
    <row r="174">
      <c r="D174" s="89"/>
    </row>
    <row r="175">
      <c r="D175" s="89"/>
    </row>
    <row r="176">
      <c r="D176" s="89"/>
    </row>
    <row r="177">
      <c r="D177" s="89"/>
    </row>
    <row r="178">
      <c r="D178" s="89"/>
    </row>
    <row r="179">
      <c r="D179" s="89"/>
    </row>
    <row r="180">
      <c r="D180" s="89"/>
    </row>
    <row r="181">
      <c r="D181" s="89"/>
    </row>
    <row r="182">
      <c r="D182" s="89"/>
    </row>
    <row r="183">
      <c r="D183" s="89"/>
    </row>
    <row r="184">
      <c r="D184" s="89"/>
    </row>
    <row r="185">
      <c r="D185" s="89"/>
    </row>
    <row r="186">
      <c r="D186" s="89"/>
    </row>
    <row r="187">
      <c r="D187" s="89"/>
    </row>
    <row r="188">
      <c r="D188" s="89"/>
    </row>
    <row r="189">
      <c r="D189" s="89"/>
    </row>
    <row r="190">
      <c r="D190" s="89"/>
    </row>
    <row r="191">
      <c r="D191" s="89"/>
    </row>
    <row r="192">
      <c r="D192" s="89"/>
    </row>
    <row r="193">
      <c r="D193" s="89"/>
    </row>
    <row r="194">
      <c r="D194" s="89"/>
    </row>
    <row r="195">
      <c r="D195" s="89"/>
    </row>
    <row r="196">
      <c r="D196" s="89"/>
    </row>
    <row r="197">
      <c r="D197" s="89"/>
    </row>
    <row r="198">
      <c r="D198" s="89"/>
    </row>
    <row r="199">
      <c r="D199" s="89"/>
    </row>
    <row r="200">
      <c r="D200" s="89"/>
    </row>
    <row r="201">
      <c r="D201" s="89"/>
    </row>
    <row r="202">
      <c r="D202" s="89"/>
    </row>
    <row r="203">
      <c r="D203" s="89"/>
    </row>
    <row r="204">
      <c r="D204" s="89"/>
    </row>
    <row r="205">
      <c r="D205" s="89"/>
    </row>
    <row r="206">
      <c r="D206" s="89"/>
    </row>
    <row r="207">
      <c r="D207" s="89"/>
    </row>
    <row r="208">
      <c r="D208" s="89"/>
    </row>
    <row r="209">
      <c r="D209" s="89"/>
    </row>
    <row r="210">
      <c r="D210" s="89"/>
    </row>
    <row r="211">
      <c r="D211" s="89"/>
    </row>
    <row r="212">
      <c r="D212" s="89"/>
    </row>
    <row r="213">
      <c r="D213" s="89"/>
    </row>
    <row r="214">
      <c r="D214" s="89"/>
    </row>
    <row r="215">
      <c r="D215" s="89"/>
    </row>
    <row r="216">
      <c r="D216" s="89"/>
    </row>
    <row r="217">
      <c r="D217" s="89"/>
    </row>
    <row r="218">
      <c r="D218" s="89"/>
    </row>
    <row r="219">
      <c r="D219" s="89"/>
    </row>
    <row r="220">
      <c r="D220" s="89"/>
    </row>
    <row r="221">
      <c r="D221" s="89"/>
    </row>
    <row r="222">
      <c r="D222" s="89"/>
    </row>
    <row r="223">
      <c r="D223" s="89"/>
    </row>
    <row r="224">
      <c r="D224" s="89"/>
    </row>
    <row r="225">
      <c r="D225" s="89"/>
    </row>
    <row r="226">
      <c r="D226" s="89"/>
    </row>
    <row r="227">
      <c r="D227" s="89"/>
    </row>
    <row r="228">
      <c r="D228" s="89"/>
    </row>
    <row r="229">
      <c r="D229" s="89"/>
    </row>
    <row r="230">
      <c r="D230" s="89"/>
    </row>
    <row r="231">
      <c r="D231" s="89"/>
    </row>
    <row r="232">
      <c r="D232" s="89"/>
    </row>
    <row r="233">
      <c r="D233" s="89"/>
    </row>
    <row r="234">
      <c r="D234" s="89"/>
    </row>
    <row r="235">
      <c r="D235" s="89"/>
    </row>
    <row r="236">
      <c r="D236" s="89"/>
    </row>
    <row r="237">
      <c r="D237" s="89"/>
    </row>
    <row r="238">
      <c r="D238" s="89"/>
    </row>
    <row r="239">
      <c r="D239" s="89"/>
    </row>
    <row r="240">
      <c r="D240" s="89"/>
    </row>
    <row r="241">
      <c r="D241" s="89"/>
    </row>
    <row r="242">
      <c r="D242" s="89"/>
    </row>
    <row r="243">
      <c r="D243" s="89"/>
    </row>
    <row r="244">
      <c r="D244" s="89"/>
    </row>
    <row r="245">
      <c r="D245" s="89"/>
    </row>
    <row r="246">
      <c r="D246" s="89"/>
    </row>
    <row r="247">
      <c r="D247" s="89"/>
    </row>
    <row r="248">
      <c r="D248" s="89"/>
    </row>
    <row r="249">
      <c r="D249" s="89"/>
    </row>
    <row r="250">
      <c r="D250" s="89"/>
    </row>
    <row r="251">
      <c r="D251" s="89"/>
    </row>
    <row r="252">
      <c r="D252" s="89"/>
    </row>
    <row r="253">
      <c r="D253" s="89"/>
    </row>
    <row r="254">
      <c r="D254" s="89"/>
    </row>
    <row r="255">
      <c r="D255" s="89"/>
    </row>
    <row r="256">
      <c r="D256" s="89"/>
    </row>
    <row r="257">
      <c r="D257" s="89"/>
    </row>
    <row r="258">
      <c r="D258" s="89"/>
    </row>
    <row r="259">
      <c r="D259" s="89"/>
    </row>
    <row r="260">
      <c r="D260" s="89"/>
    </row>
    <row r="261">
      <c r="D261" s="89"/>
    </row>
    <row r="262">
      <c r="D262" s="89"/>
    </row>
    <row r="263">
      <c r="D263" s="89"/>
    </row>
    <row r="264">
      <c r="D264" s="89"/>
    </row>
    <row r="265">
      <c r="D265" s="89"/>
    </row>
    <row r="266">
      <c r="D266" s="89"/>
    </row>
    <row r="267">
      <c r="D267" s="89"/>
    </row>
    <row r="268">
      <c r="D268" s="89"/>
    </row>
    <row r="269">
      <c r="D269" s="89"/>
    </row>
    <row r="270">
      <c r="D270" s="89"/>
    </row>
    <row r="271">
      <c r="D271" s="89"/>
    </row>
    <row r="272">
      <c r="D272" s="89"/>
    </row>
    <row r="273">
      <c r="D273" s="89"/>
    </row>
    <row r="274">
      <c r="D274" s="89"/>
    </row>
    <row r="275">
      <c r="D275" s="89"/>
    </row>
    <row r="276">
      <c r="D276" s="89"/>
    </row>
    <row r="277">
      <c r="D277" s="89"/>
    </row>
    <row r="278">
      <c r="D278" s="89"/>
    </row>
    <row r="279">
      <c r="D279" s="89"/>
    </row>
    <row r="280">
      <c r="D280" s="89"/>
    </row>
    <row r="281">
      <c r="D281" s="89"/>
    </row>
    <row r="282">
      <c r="D282" s="89"/>
    </row>
    <row r="283">
      <c r="D283" s="89"/>
    </row>
    <row r="284">
      <c r="D284" s="89"/>
    </row>
    <row r="285">
      <c r="D285" s="89"/>
    </row>
    <row r="286">
      <c r="D286" s="89"/>
    </row>
    <row r="287">
      <c r="D287" s="89"/>
    </row>
    <row r="288">
      <c r="D288" s="89"/>
    </row>
    <row r="289">
      <c r="D289" s="89"/>
    </row>
    <row r="290">
      <c r="D290" s="89"/>
    </row>
    <row r="291">
      <c r="D291" s="89"/>
    </row>
    <row r="292">
      <c r="D292" s="89"/>
    </row>
    <row r="293">
      <c r="D293" s="89"/>
    </row>
    <row r="294">
      <c r="D294" s="89"/>
    </row>
    <row r="295">
      <c r="D295" s="89"/>
    </row>
    <row r="296">
      <c r="D296" s="89"/>
    </row>
    <row r="297">
      <c r="D297" s="89"/>
    </row>
    <row r="298">
      <c r="D298" s="89"/>
    </row>
    <row r="299">
      <c r="D299" s="89"/>
    </row>
    <row r="300">
      <c r="D300" s="89"/>
    </row>
    <row r="301">
      <c r="D301" s="89"/>
    </row>
    <row r="302">
      <c r="D302" s="89"/>
    </row>
    <row r="303">
      <c r="D303" s="89"/>
    </row>
    <row r="304">
      <c r="D304" s="89"/>
    </row>
    <row r="305">
      <c r="D305" s="89"/>
    </row>
    <row r="306">
      <c r="D306" s="89"/>
    </row>
    <row r="307">
      <c r="D307" s="89"/>
    </row>
    <row r="308">
      <c r="D308" s="89"/>
    </row>
    <row r="309">
      <c r="D309" s="89"/>
    </row>
    <row r="310">
      <c r="D310" s="89"/>
    </row>
    <row r="311">
      <c r="D311" s="89"/>
    </row>
    <row r="312">
      <c r="D312" s="89"/>
    </row>
    <row r="313">
      <c r="D313" s="89"/>
    </row>
    <row r="314">
      <c r="D314" s="89"/>
    </row>
    <row r="315">
      <c r="D315" s="89"/>
    </row>
    <row r="316">
      <c r="D316" s="89"/>
    </row>
    <row r="317">
      <c r="D317" s="89"/>
    </row>
    <row r="318">
      <c r="D318" s="89"/>
    </row>
    <row r="319">
      <c r="D319" s="89"/>
    </row>
    <row r="320">
      <c r="D320" s="89"/>
    </row>
    <row r="321">
      <c r="D321" s="89"/>
    </row>
    <row r="322">
      <c r="D322" s="89"/>
    </row>
    <row r="323">
      <c r="D323" s="89"/>
    </row>
    <row r="324">
      <c r="D324" s="89"/>
    </row>
    <row r="325">
      <c r="D325" s="89"/>
    </row>
    <row r="326">
      <c r="D326" s="89"/>
    </row>
    <row r="327">
      <c r="D327" s="89"/>
    </row>
    <row r="328">
      <c r="D328" s="89"/>
    </row>
    <row r="329">
      <c r="D329" s="89"/>
    </row>
    <row r="330">
      <c r="D330" s="89"/>
    </row>
    <row r="331">
      <c r="D331" s="89"/>
    </row>
    <row r="332">
      <c r="D332" s="89"/>
    </row>
    <row r="333">
      <c r="D333" s="89"/>
    </row>
    <row r="334">
      <c r="D334" s="89"/>
    </row>
    <row r="335">
      <c r="D335" s="89"/>
    </row>
    <row r="336">
      <c r="D336" s="89"/>
    </row>
    <row r="337">
      <c r="D337" s="89"/>
    </row>
    <row r="338">
      <c r="D338" s="89"/>
    </row>
    <row r="339">
      <c r="D339" s="89"/>
    </row>
    <row r="340">
      <c r="D340" s="89"/>
    </row>
    <row r="341">
      <c r="D341" s="89"/>
    </row>
    <row r="342">
      <c r="D342" s="89"/>
    </row>
    <row r="343">
      <c r="D343" s="89"/>
    </row>
    <row r="344">
      <c r="D344" s="89"/>
    </row>
    <row r="345">
      <c r="D345" s="89"/>
    </row>
    <row r="346">
      <c r="D346" s="89"/>
    </row>
    <row r="347">
      <c r="D347" s="89"/>
    </row>
    <row r="348">
      <c r="D348" s="89"/>
    </row>
    <row r="349">
      <c r="D349" s="89"/>
    </row>
    <row r="350">
      <c r="D350" s="89"/>
    </row>
    <row r="351">
      <c r="D351" s="89"/>
    </row>
    <row r="352">
      <c r="D352" s="89"/>
    </row>
    <row r="353">
      <c r="D353" s="89"/>
    </row>
    <row r="354">
      <c r="D354" s="89"/>
    </row>
    <row r="355">
      <c r="D355" s="89"/>
    </row>
    <row r="356">
      <c r="D356" s="89"/>
    </row>
    <row r="357">
      <c r="D357" s="89"/>
    </row>
    <row r="358">
      <c r="D358" s="89"/>
    </row>
    <row r="359">
      <c r="D359" s="89"/>
    </row>
    <row r="360">
      <c r="D360" s="89"/>
    </row>
    <row r="361">
      <c r="D361" s="89"/>
    </row>
    <row r="362">
      <c r="D362" s="89"/>
    </row>
    <row r="363">
      <c r="D363" s="89"/>
    </row>
    <row r="364">
      <c r="D364" s="89"/>
    </row>
    <row r="365">
      <c r="D365" s="89"/>
    </row>
    <row r="366">
      <c r="D366" s="89"/>
    </row>
    <row r="367">
      <c r="D367" s="89"/>
    </row>
    <row r="368">
      <c r="D368" s="89"/>
    </row>
    <row r="369">
      <c r="D369" s="89"/>
    </row>
    <row r="370">
      <c r="D370" s="89"/>
    </row>
    <row r="371">
      <c r="D371" s="89"/>
    </row>
    <row r="372">
      <c r="D372" s="89"/>
    </row>
    <row r="373">
      <c r="D373" s="89"/>
    </row>
    <row r="374">
      <c r="D374" s="89"/>
    </row>
    <row r="375">
      <c r="D375" s="89"/>
    </row>
    <row r="376">
      <c r="D376" s="89"/>
    </row>
    <row r="377">
      <c r="D377" s="89"/>
    </row>
    <row r="378">
      <c r="D378" s="89"/>
    </row>
    <row r="379">
      <c r="D379" s="89"/>
    </row>
    <row r="380">
      <c r="D380" s="89"/>
    </row>
    <row r="381">
      <c r="D381" s="89"/>
    </row>
    <row r="382">
      <c r="D382" s="89"/>
    </row>
    <row r="383">
      <c r="D383" s="89"/>
    </row>
    <row r="384">
      <c r="D384" s="89"/>
    </row>
    <row r="385">
      <c r="D385" s="89"/>
    </row>
    <row r="386">
      <c r="D386" s="89"/>
    </row>
    <row r="387">
      <c r="D387" s="89"/>
    </row>
    <row r="388">
      <c r="D388" s="89"/>
    </row>
    <row r="389">
      <c r="D389" s="89"/>
    </row>
    <row r="390">
      <c r="D390" s="89"/>
    </row>
    <row r="391">
      <c r="D391" s="89"/>
    </row>
    <row r="392">
      <c r="D392" s="89"/>
    </row>
    <row r="393">
      <c r="D393" s="89"/>
    </row>
    <row r="394">
      <c r="D394" s="89"/>
    </row>
    <row r="395">
      <c r="D395" s="89"/>
    </row>
    <row r="396">
      <c r="D396" s="89"/>
    </row>
    <row r="397">
      <c r="D397" s="89"/>
    </row>
    <row r="398">
      <c r="D398" s="89"/>
    </row>
    <row r="399">
      <c r="D399" s="89"/>
    </row>
    <row r="400">
      <c r="D400" s="89"/>
    </row>
    <row r="401">
      <c r="D401" s="89"/>
    </row>
    <row r="402">
      <c r="D402" s="89"/>
    </row>
    <row r="403">
      <c r="D403" s="89"/>
    </row>
    <row r="404">
      <c r="D404" s="89"/>
    </row>
    <row r="405">
      <c r="D405" s="89"/>
    </row>
    <row r="406">
      <c r="D406" s="89"/>
    </row>
    <row r="407">
      <c r="D407" s="89"/>
    </row>
    <row r="408">
      <c r="D408" s="89"/>
    </row>
    <row r="409">
      <c r="D409" s="89"/>
    </row>
    <row r="410">
      <c r="D410" s="89"/>
    </row>
    <row r="411">
      <c r="D411" s="89"/>
    </row>
    <row r="412">
      <c r="D412" s="89"/>
    </row>
    <row r="413">
      <c r="D413" s="89"/>
    </row>
    <row r="414">
      <c r="D414" s="89"/>
    </row>
    <row r="415">
      <c r="D415" s="89"/>
    </row>
    <row r="416">
      <c r="D416" s="89"/>
    </row>
    <row r="417">
      <c r="D417" s="89"/>
    </row>
    <row r="418">
      <c r="D418" s="89"/>
    </row>
    <row r="419">
      <c r="D419" s="89"/>
    </row>
    <row r="420">
      <c r="D420" s="89"/>
    </row>
    <row r="421">
      <c r="D421" s="89"/>
    </row>
    <row r="422">
      <c r="D422" s="89"/>
    </row>
    <row r="423">
      <c r="D423" s="89"/>
    </row>
    <row r="424">
      <c r="D424" s="89"/>
    </row>
    <row r="425">
      <c r="D425" s="89"/>
    </row>
    <row r="426">
      <c r="D426" s="89"/>
    </row>
    <row r="427">
      <c r="D427" s="89"/>
    </row>
    <row r="428">
      <c r="D428" s="89"/>
    </row>
    <row r="429">
      <c r="D429" s="89"/>
    </row>
    <row r="430">
      <c r="D430" s="89"/>
    </row>
    <row r="431">
      <c r="D431" s="89"/>
    </row>
    <row r="432">
      <c r="D432" s="89"/>
    </row>
    <row r="433">
      <c r="D433" s="89"/>
    </row>
    <row r="434">
      <c r="D434" s="89"/>
    </row>
    <row r="435">
      <c r="D435" s="89"/>
    </row>
    <row r="436">
      <c r="D436" s="89"/>
    </row>
    <row r="437">
      <c r="D437" s="89"/>
    </row>
    <row r="438">
      <c r="D438" s="89"/>
    </row>
    <row r="439">
      <c r="D439" s="89"/>
    </row>
    <row r="440">
      <c r="D440" s="89"/>
    </row>
    <row r="441">
      <c r="D441" s="89"/>
    </row>
    <row r="442">
      <c r="D442" s="89"/>
    </row>
    <row r="443">
      <c r="D443" s="89"/>
    </row>
    <row r="444">
      <c r="D444" s="89"/>
    </row>
    <row r="445">
      <c r="D445" s="89"/>
    </row>
    <row r="446">
      <c r="D446" s="89"/>
    </row>
    <row r="447">
      <c r="D447" s="89"/>
    </row>
    <row r="448">
      <c r="D448" s="89"/>
    </row>
    <row r="449">
      <c r="D449" s="89"/>
    </row>
    <row r="450">
      <c r="D450" s="89"/>
    </row>
    <row r="451">
      <c r="D451" s="89"/>
    </row>
    <row r="452">
      <c r="D452" s="89"/>
    </row>
    <row r="453">
      <c r="D453" s="89"/>
    </row>
    <row r="454">
      <c r="D454" s="89"/>
    </row>
    <row r="455">
      <c r="D455" s="89"/>
    </row>
    <row r="456">
      <c r="D456" s="89"/>
    </row>
    <row r="457">
      <c r="D457" s="89"/>
    </row>
    <row r="458">
      <c r="D458" s="89"/>
    </row>
    <row r="459">
      <c r="D459" s="89"/>
    </row>
    <row r="460">
      <c r="D460" s="89"/>
    </row>
    <row r="461">
      <c r="D461" s="89"/>
    </row>
    <row r="462">
      <c r="D462" s="89"/>
    </row>
    <row r="463">
      <c r="D463" s="89"/>
    </row>
    <row r="464">
      <c r="D464" s="89"/>
    </row>
    <row r="465">
      <c r="D465" s="89"/>
    </row>
    <row r="466">
      <c r="D466" s="89"/>
    </row>
    <row r="467">
      <c r="D467" s="89"/>
    </row>
    <row r="468">
      <c r="D468" s="89"/>
    </row>
    <row r="469">
      <c r="D469" s="89"/>
    </row>
    <row r="470">
      <c r="D470" s="89"/>
    </row>
    <row r="471">
      <c r="D471" s="89"/>
    </row>
    <row r="472">
      <c r="D472" s="89"/>
    </row>
    <row r="473">
      <c r="D473" s="89"/>
    </row>
    <row r="474">
      <c r="D474" s="89"/>
    </row>
    <row r="475">
      <c r="D475" s="89"/>
    </row>
    <row r="476">
      <c r="D476" s="89"/>
    </row>
    <row r="477">
      <c r="D477" s="89"/>
    </row>
    <row r="478">
      <c r="D478" s="89"/>
    </row>
    <row r="479">
      <c r="D479" s="89"/>
    </row>
    <row r="480">
      <c r="D480" s="89"/>
    </row>
    <row r="481">
      <c r="D481" s="89"/>
    </row>
    <row r="482">
      <c r="D482" s="89"/>
    </row>
    <row r="483">
      <c r="D483" s="89"/>
    </row>
    <row r="484">
      <c r="D484" s="89"/>
    </row>
    <row r="485">
      <c r="D485" s="89"/>
    </row>
    <row r="486">
      <c r="D486" s="89"/>
    </row>
    <row r="487">
      <c r="D487" s="89"/>
    </row>
    <row r="488">
      <c r="D488" s="89"/>
    </row>
    <row r="489">
      <c r="D489" s="89"/>
    </row>
    <row r="490">
      <c r="D490" s="89"/>
    </row>
    <row r="491">
      <c r="D491" s="89"/>
    </row>
    <row r="492">
      <c r="D492" s="89"/>
    </row>
    <row r="493">
      <c r="D493" s="89"/>
    </row>
    <row r="494">
      <c r="D494" s="89"/>
    </row>
    <row r="495">
      <c r="D495" s="89"/>
    </row>
    <row r="496">
      <c r="D496" s="89"/>
    </row>
    <row r="497">
      <c r="D497" s="89"/>
    </row>
    <row r="498">
      <c r="D498" s="89"/>
    </row>
    <row r="499">
      <c r="D499" s="89"/>
    </row>
    <row r="500">
      <c r="D500" s="89"/>
    </row>
    <row r="501">
      <c r="D501" s="89"/>
    </row>
    <row r="502">
      <c r="D502" s="89"/>
    </row>
    <row r="503">
      <c r="D503" s="89"/>
    </row>
    <row r="504">
      <c r="D504" s="89"/>
    </row>
    <row r="505">
      <c r="D505" s="89"/>
    </row>
    <row r="506">
      <c r="D506" s="89"/>
    </row>
    <row r="507">
      <c r="D507" s="89"/>
    </row>
    <row r="508">
      <c r="D508" s="89"/>
    </row>
    <row r="509">
      <c r="D509" s="89"/>
    </row>
    <row r="510">
      <c r="D510" s="89"/>
    </row>
    <row r="511">
      <c r="D511" s="89"/>
    </row>
    <row r="512">
      <c r="D512" s="89"/>
    </row>
    <row r="513">
      <c r="D513" s="89"/>
    </row>
    <row r="514">
      <c r="D514" s="89"/>
    </row>
    <row r="515">
      <c r="D515" s="89"/>
    </row>
    <row r="516">
      <c r="D516" s="89"/>
    </row>
    <row r="517">
      <c r="D517" s="89"/>
    </row>
    <row r="518">
      <c r="D518" s="89"/>
    </row>
    <row r="519">
      <c r="D519" s="89"/>
    </row>
    <row r="520">
      <c r="D520" s="89"/>
    </row>
    <row r="521">
      <c r="D521" s="89"/>
    </row>
    <row r="522">
      <c r="D522" s="89"/>
    </row>
    <row r="523">
      <c r="D523" s="89"/>
    </row>
    <row r="524">
      <c r="D524" s="89"/>
    </row>
    <row r="525">
      <c r="D525" s="89"/>
    </row>
    <row r="526">
      <c r="D526" s="89"/>
    </row>
    <row r="527">
      <c r="D527" s="89"/>
    </row>
    <row r="528">
      <c r="D528" s="89"/>
    </row>
    <row r="529">
      <c r="D529" s="89"/>
    </row>
    <row r="530">
      <c r="D530" s="89"/>
    </row>
    <row r="531">
      <c r="D531" s="89"/>
    </row>
    <row r="532">
      <c r="D532" s="89"/>
    </row>
    <row r="533">
      <c r="D533" s="89"/>
    </row>
    <row r="534">
      <c r="D534" s="89"/>
    </row>
    <row r="535">
      <c r="D535" s="89"/>
    </row>
    <row r="536">
      <c r="D536" s="89"/>
    </row>
    <row r="537">
      <c r="D537" s="89"/>
    </row>
    <row r="538">
      <c r="D538" s="89"/>
    </row>
    <row r="539">
      <c r="D539" s="89"/>
    </row>
    <row r="540">
      <c r="D540" s="89"/>
    </row>
    <row r="541">
      <c r="D541" s="89"/>
    </row>
    <row r="542">
      <c r="D542" s="89"/>
    </row>
    <row r="543">
      <c r="D543" s="89"/>
    </row>
    <row r="544">
      <c r="D544" s="89"/>
    </row>
    <row r="545">
      <c r="D545" s="89"/>
    </row>
    <row r="546">
      <c r="D546" s="89"/>
    </row>
    <row r="547">
      <c r="D547" s="89"/>
    </row>
    <row r="548">
      <c r="D548" s="89"/>
    </row>
    <row r="549">
      <c r="D549" s="89"/>
    </row>
    <row r="550">
      <c r="D550" s="89"/>
    </row>
    <row r="551">
      <c r="D551" s="89"/>
    </row>
    <row r="552">
      <c r="D552" s="89"/>
    </row>
    <row r="553">
      <c r="D553" s="89"/>
    </row>
    <row r="554">
      <c r="D554" s="89"/>
    </row>
    <row r="555">
      <c r="D555" s="89"/>
    </row>
    <row r="556">
      <c r="D556" s="89"/>
    </row>
    <row r="557">
      <c r="D557" s="89"/>
    </row>
    <row r="558">
      <c r="D558" s="89"/>
    </row>
    <row r="559">
      <c r="D559" s="89"/>
    </row>
    <row r="560">
      <c r="D560" s="89"/>
    </row>
    <row r="561">
      <c r="D561" s="89"/>
    </row>
    <row r="562">
      <c r="D562" s="89"/>
    </row>
    <row r="563">
      <c r="D563" s="89"/>
    </row>
    <row r="564">
      <c r="D564" s="89"/>
    </row>
    <row r="565">
      <c r="D565" s="89"/>
    </row>
    <row r="566">
      <c r="D566" s="89"/>
    </row>
    <row r="567">
      <c r="D567" s="89"/>
    </row>
    <row r="568">
      <c r="D568" s="89"/>
    </row>
    <row r="569">
      <c r="D569" s="89"/>
    </row>
    <row r="570">
      <c r="D570" s="89"/>
    </row>
    <row r="571">
      <c r="D571" s="89"/>
    </row>
    <row r="572">
      <c r="D572" s="89"/>
    </row>
    <row r="573">
      <c r="D573" s="89"/>
    </row>
    <row r="574">
      <c r="D574" s="89"/>
    </row>
    <row r="575">
      <c r="D575" s="89"/>
    </row>
    <row r="576">
      <c r="D576" s="89"/>
    </row>
    <row r="577">
      <c r="D577" s="89"/>
    </row>
    <row r="578">
      <c r="D578" s="89"/>
    </row>
    <row r="579">
      <c r="D579" s="89"/>
    </row>
    <row r="580">
      <c r="D580" s="89"/>
    </row>
    <row r="581">
      <c r="D581" s="89"/>
    </row>
    <row r="582">
      <c r="D582" s="89"/>
    </row>
    <row r="583">
      <c r="D583" s="89"/>
    </row>
    <row r="584">
      <c r="D584" s="89"/>
    </row>
    <row r="585">
      <c r="D585" s="89"/>
    </row>
    <row r="586">
      <c r="D586" s="89"/>
    </row>
    <row r="587">
      <c r="D587" s="89"/>
    </row>
    <row r="588">
      <c r="D588" s="89"/>
    </row>
    <row r="589">
      <c r="D589" s="89"/>
    </row>
    <row r="590">
      <c r="D590" s="89"/>
    </row>
    <row r="591">
      <c r="D591" s="89"/>
    </row>
    <row r="592">
      <c r="D592" s="89"/>
    </row>
    <row r="593">
      <c r="D593" s="89"/>
    </row>
    <row r="594">
      <c r="D594" s="89"/>
    </row>
    <row r="595">
      <c r="D595" s="89"/>
    </row>
    <row r="596">
      <c r="D596" s="89"/>
    </row>
    <row r="597">
      <c r="D597" s="89"/>
    </row>
    <row r="598">
      <c r="D598" s="89"/>
    </row>
    <row r="599">
      <c r="D599" s="89"/>
    </row>
    <row r="600">
      <c r="D600" s="89"/>
    </row>
    <row r="601">
      <c r="D601" s="89"/>
    </row>
    <row r="602">
      <c r="D602" s="89"/>
    </row>
    <row r="603">
      <c r="D603" s="89"/>
    </row>
    <row r="604">
      <c r="D604" s="89"/>
    </row>
    <row r="605">
      <c r="D605" s="89"/>
    </row>
    <row r="606">
      <c r="D606" s="89"/>
    </row>
    <row r="607">
      <c r="D607" s="89"/>
    </row>
    <row r="608">
      <c r="D608" s="89"/>
    </row>
    <row r="609">
      <c r="D609" s="89"/>
    </row>
    <row r="610">
      <c r="D610" s="89"/>
    </row>
    <row r="611">
      <c r="D611" s="89"/>
    </row>
    <row r="612">
      <c r="D612" s="89"/>
    </row>
    <row r="613">
      <c r="D613" s="89"/>
    </row>
    <row r="614">
      <c r="D614" s="89"/>
    </row>
    <row r="615">
      <c r="D615" s="89"/>
    </row>
    <row r="616">
      <c r="D616" s="89"/>
    </row>
    <row r="617">
      <c r="D617" s="89"/>
    </row>
    <row r="618">
      <c r="D618" s="89"/>
    </row>
    <row r="619">
      <c r="D619" s="89"/>
    </row>
    <row r="620">
      <c r="D620" s="89"/>
    </row>
    <row r="621">
      <c r="D621" s="89"/>
    </row>
    <row r="622">
      <c r="D622" s="89"/>
    </row>
    <row r="623">
      <c r="D623" s="89"/>
    </row>
    <row r="624">
      <c r="D624" s="89"/>
    </row>
    <row r="625">
      <c r="D625" s="89"/>
    </row>
    <row r="626">
      <c r="D626" s="89"/>
    </row>
    <row r="627">
      <c r="D627" s="89"/>
    </row>
    <row r="628">
      <c r="D628" s="89"/>
    </row>
    <row r="629">
      <c r="D629" s="89"/>
    </row>
    <row r="630">
      <c r="D630" s="89"/>
    </row>
    <row r="631">
      <c r="D631" s="89"/>
    </row>
    <row r="632">
      <c r="D632" s="89"/>
    </row>
    <row r="633">
      <c r="D633" s="89"/>
    </row>
    <row r="634">
      <c r="D634" s="89"/>
    </row>
    <row r="635">
      <c r="D635" s="89"/>
    </row>
    <row r="636">
      <c r="D636" s="89"/>
    </row>
    <row r="637">
      <c r="D637" s="89"/>
    </row>
    <row r="638">
      <c r="D638" s="89"/>
    </row>
    <row r="639">
      <c r="D639" s="89"/>
    </row>
    <row r="640">
      <c r="D640" s="89"/>
    </row>
    <row r="641">
      <c r="D641" s="89"/>
    </row>
    <row r="642">
      <c r="D642" s="89"/>
    </row>
    <row r="643">
      <c r="D643" s="89"/>
    </row>
    <row r="644">
      <c r="D644" s="89"/>
    </row>
    <row r="645">
      <c r="D645" s="89"/>
    </row>
    <row r="646">
      <c r="D646" s="89"/>
    </row>
    <row r="647">
      <c r="D647" s="89"/>
    </row>
    <row r="648">
      <c r="D648" s="89"/>
    </row>
    <row r="649">
      <c r="D649" s="89"/>
    </row>
    <row r="650">
      <c r="D650" s="89"/>
    </row>
    <row r="651">
      <c r="D651" s="89"/>
    </row>
    <row r="652">
      <c r="D652" s="89"/>
    </row>
    <row r="653">
      <c r="D653" s="89"/>
    </row>
    <row r="654">
      <c r="D654" s="89"/>
    </row>
    <row r="655">
      <c r="D655" s="89"/>
    </row>
    <row r="656">
      <c r="D656" s="89"/>
    </row>
    <row r="657">
      <c r="D657" s="89"/>
    </row>
    <row r="658">
      <c r="D658" s="89"/>
    </row>
    <row r="659">
      <c r="D659" s="89"/>
    </row>
    <row r="660">
      <c r="D660" s="89"/>
    </row>
    <row r="661">
      <c r="D661" s="89"/>
    </row>
    <row r="662">
      <c r="D662" s="89"/>
    </row>
    <row r="663">
      <c r="D663" s="89"/>
    </row>
    <row r="664">
      <c r="D664" s="89"/>
    </row>
    <row r="665">
      <c r="D665" s="89"/>
    </row>
    <row r="666">
      <c r="D666" s="89"/>
    </row>
    <row r="667">
      <c r="D667" s="89"/>
    </row>
    <row r="668">
      <c r="D668" s="89"/>
    </row>
    <row r="669">
      <c r="D669" s="89"/>
    </row>
    <row r="670">
      <c r="D670" s="89"/>
    </row>
    <row r="671">
      <c r="D671" s="89"/>
    </row>
    <row r="672">
      <c r="D672" s="89"/>
    </row>
    <row r="673">
      <c r="D673" s="89"/>
    </row>
    <row r="674">
      <c r="D674" s="89"/>
    </row>
    <row r="675">
      <c r="D675" s="89"/>
    </row>
    <row r="676">
      <c r="D676" s="89"/>
    </row>
    <row r="677">
      <c r="D677" s="89"/>
    </row>
    <row r="678">
      <c r="D678" s="89"/>
    </row>
    <row r="679">
      <c r="D679" s="89"/>
    </row>
    <row r="680">
      <c r="D680" s="89"/>
    </row>
    <row r="681">
      <c r="D681" s="89"/>
    </row>
    <row r="682">
      <c r="D682" s="89"/>
    </row>
    <row r="683">
      <c r="D683" s="89"/>
    </row>
    <row r="684">
      <c r="D684" s="89"/>
    </row>
    <row r="685">
      <c r="D685" s="89"/>
    </row>
    <row r="686">
      <c r="D686" s="89"/>
    </row>
    <row r="687">
      <c r="D687" s="89"/>
    </row>
    <row r="688">
      <c r="D688" s="89"/>
    </row>
    <row r="689">
      <c r="D689" s="89"/>
    </row>
    <row r="690">
      <c r="D690" s="89"/>
    </row>
    <row r="691">
      <c r="D691" s="89"/>
    </row>
    <row r="692">
      <c r="D692" s="89"/>
    </row>
    <row r="693">
      <c r="D693" s="89"/>
    </row>
    <row r="694">
      <c r="D694" s="89"/>
    </row>
    <row r="695">
      <c r="D695" s="89"/>
    </row>
    <row r="696">
      <c r="D696" s="89"/>
    </row>
    <row r="697">
      <c r="D697" s="89"/>
    </row>
    <row r="698">
      <c r="D698" s="89"/>
    </row>
    <row r="699">
      <c r="D699" s="89"/>
    </row>
    <row r="700">
      <c r="D700" s="89"/>
    </row>
    <row r="701">
      <c r="D701" s="89"/>
    </row>
    <row r="702">
      <c r="D702" s="89"/>
    </row>
    <row r="703">
      <c r="D703" s="89"/>
    </row>
    <row r="704">
      <c r="D704" s="89"/>
    </row>
    <row r="705">
      <c r="D705" s="89"/>
    </row>
    <row r="706">
      <c r="D706" s="89"/>
    </row>
    <row r="707">
      <c r="D707" s="89"/>
    </row>
    <row r="708">
      <c r="D708" s="89"/>
    </row>
    <row r="709">
      <c r="D709" s="89"/>
    </row>
    <row r="710">
      <c r="D710" s="89"/>
    </row>
    <row r="711">
      <c r="D711" s="89"/>
    </row>
    <row r="712">
      <c r="D712" s="89"/>
    </row>
    <row r="713">
      <c r="D713" s="89"/>
    </row>
    <row r="714">
      <c r="D714" s="89"/>
    </row>
    <row r="715">
      <c r="D715" s="89"/>
    </row>
    <row r="716">
      <c r="D716" s="89"/>
    </row>
    <row r="717">
      <c r="D717" s="89"/>
    </row>
    <row r="718">
      <c r="D718" s="89"/>
    </row>
    <row r="719">
      <c r="D719" s="89"/>
    </row>
    <row r="720">
      <c r="D720" s="89"/>
    </row>
    <row r="721">
      <c r="D721" s="89"/>
    </row>
    <row r="722">
      <c r="D722" s="89"/>
    </row>
    <row r="723">
      <c r="D723" s="89"/>
    </row>
    <row r="724">
      <c r="D724" s="89"/>
    </row>
    <row r="725">
      <c r="D725" s="89"/>
    </row>
    <row r="726">
      <c r="D726" s="89"/>
    </row>
    <row r="727">
      <c r="D727" s="89"/>
    </row>
    <row r="728">
      <c r="D728" s="89"/>
    </row>
    <row r="729">
      <c r="D729" s="89"/>
    </row>
    <row r="730">
      <c r="D730" s="89"/>
    </row>
    <row r="731">
      <c r="D731" s="89"/>
    </row>
    <row r="732">
      <c r="D732" s="89"/>
    </row>
    <row r="733">
      <c r="D733" s="89"/>
    </row>
    <row r="734">
      <c r="D734" s="89"/>
    </row>
    <row r="735">
      <c r="D735" s="89"/>
    </row>
    <row r="736">
      <c r="D736" s="89"/>
    </row>
    <row r="737">
      <c r="D737" s="89"/>
    </row>
    <row r="738">
      <c r="D738" s="89"/>
    </row>
    <row r="739">
      <c r="D739" s="89"/>
    </row>
    <row r="740">
      <c r="D740" s="89"/>
    </row>
    <row r="741">
      <c r="D741" s="89"/>
    </row>
    <row r="742">
      <c r="D742" s="89"/>
    </row>
    <row r="743">
      <c r="D743" s="89"/>
    </row>
    <row r="744">
      <c r="D744" s="89"/>
    </row>
    <row r="745">
      <c r="D745" s="89"/>
    </row>
    <row r="746">
      <c r="D746" s="89"/>
    </row>
    <row r="747">
      <c r="D747" s="89"/>
    </row>
    <row r="748">
      <c r="D748" s="89"/>
    </row>
    <row r="749">
      <c r="D749" s="89"/>
    </row>
    <row r="750">
      <c r="D750" s="89"/>
    </row>
    <row r="751">
      <c r="D751" s="89"/>
    </row>
    <row r="752">
      <c r="D752" s="89"/>
    </row>
    <row r="753">
      <c r="D753" s="89"/>
    </row>
    <row r="754">
      <c r="D754" s="89"/>
    </row>
    <row r="755">
      <c r="D755" s="89"/>
    </row>
    <row r="756">
      <c r="D756" s="89"/>
    </row>
    <row r="757">
      <c r="D757" s="89"/>
    </row>
    <row r="758">
      <c r="D758" s="89"/>
    </row>
    <row r="759">
      <c r="D759" s="89"/>
    </row>
    <row r="760">
      <c r="D760" s="89"/>
    </row>
    <row r="761">
      <c r="D761" s="89"/>
    </row>
    <row r="762">
      <c r="D762" s="89"/>
    </row>
    <row r="763">
      <c r="D763" s="89"/>
    </row>
    <row r="764">
      <c r="D764" s="89"/>
    </row>
    <row r="765">
      <c r="D765" s="89"/>
    </row>
    <row r="766">
      <c r="D766" s="89"/>
    </row>
    <row r="767">
      <c r="D767" s="89"/>
    </row>
    <row r="768">
      <c r="D768" s="89"/>
    </row>
    <row r="769">
      <c r="D769" s="89"/>
    </row>
    <row r="770">
      <c r="D770" s="89"/>
    </row>
    <row r="771">
      <c r="D771" s="89"/>
    </row>
    <row r="772">
      <c r="D772" s="89"/>
    </row>
    <row r="773">
      <c r="D773" s="89"/>
    </row>
    <row r="774">
      <c r="D774" s="89"/>
    </row>
    <row r="775">
      <c r="D775" s="89"/>
    </row>
    <row r="776">
      <c r="D776" s="89"/>
    </row>
    <row r="777">
      <c r="D777" s="89"/>
    </row>
    <row r="778">
      <c r="D778" s="89"/>
    </row>
    <row r="779">
      <c r="D779" s="89"/>
    </row>
    <row r="780">
      <c r="D780" s="89"/>
    </row>
    <row r="781">
      <c r="D781" s="89"/>
    </row>
    <row r="782">
      <c r="D782" s="89"/>
    </row>
    <row r="783">
      <c r="D783" s="89"/>
    </row>
    <row r="784">
      <c r="D784" s="89"/>
    </row>
    <row r="785">
      <c r="D785" s="89"/>
    </row>
    <row r="786">
      <c r="D786" s="89"/>
    </row>
    <row r="787">
      <c r="D787" s="89"/>
    </row>
    <row r="788">
      <c r="D788" s="89"/>
    </row>
    <row r="789">
      <c r="D789" s="89"/>
    </row>
    <row r="790">
      <c r="D790" s="89"/>
    </row>
    <row r="791">
      <c r="D791" s="89"/>
    </row>
    <row r="792">
      <c r="D792" s="89"/>
    </row>
    <row r="793">
      <c r="D793" s="89"/>
    </row>
    <row r="794">
      <c r="D794" s="89"/>
    </row>
    <row r="795">
      <c r="D795" s="89"/>
    </row>
    <row r="796">
      <c r="D796" s="89"/>
    </row>
    <row r="797">
      <c r="D797" s="89"/>
    </row>
    <row r="798">
      <c r="D798" s="89"/>
    </row>
    <row r="799">
      <c r="D799" s="89"/>
    </row>
    <row r="800">
      <c r="D800" s="89"/>
    </row>
    <row r="801">
      <c r="D801" s="89"/>
    </row>
    <row r="802">
      <c r="D802" s="89"/>
    </row>
    <row r="803">
      <c r="D803" s="89"/>
    </row>
    <row r="804">
      <c r="D804" s="89"/>
    </row>
    <row r="805">
      <c r="D805" s="89"/>
    </row>
    <row r="806">
      <c r="D806" s="89"/>
    </row>
    <row r="807">
      <c r="D807" s="89"/>
    </row>
    <row r="808">
      <c r="D808" s="89"/>
    </row>
    <row r="809">
      <c r="D809" s="89"/>
    </row>
    <row r="810">
      <c r="D810" s="89"/>
    </row>
    <row r="811">
      <c r="D811" s="89"/>
    </row>
    <row r="812">
      <c r="D812" s="89"/>
    </row>
    <row r="813">
      <c r="D813" s="89"/>
    </row>
    <row r="814">
      <c r="D814" s="89"/>
    </row>
    <row r="815">
      <c r="D815" s="89"/>
    </row>
    <row r="816">
      <c r="D816" s="89"/>
    </row>
    <row r="817">
      <c r="D817" s="89"/>
    </row>
    <row r="818">
      <c r="D818" s="89"/>
    </row>
    <row r="819">
      <c r="D819" s="89"/>
    </row>
    <row r="820">
      <c r="D820" s="89"/>
    </row>
    <row r="821">
      <c r="D821" s="89"/>
    </row>
    <row r="822">
      <c r="D822" s="89"/>
    </row>
    <row r="823">
      <c r="D823" s="89"/>
    </row>
    <row r="824">
      <c r="D824" s="89"/>
    </row>
    <row r="825">
      <c r="D825" s="89"/>
    </row>
    <row r="826">
      <c r="D826" s="89"/>
    </row>
    <row r="827">
      <c r="D827" s="89"/>
    </row>
    <row r="828">
      <c r="D828" s="89"/>
    </row>
    <row r="829">
      <c r="D829" s="89"/>
    </row>
    <row r="830">
      <c r="D830" s="89"/>
    </row>
    <row r="831">
      <c r="D831" s="89"/>
    </row>
    <row r="832">
      <c r="D832" s="89"/>
    </row>
    <row r="833">
      <c r="D833" s="89"/>
    </row>
    <row r="834">
      <c r="D834" s="89"/>
    </row>
    <row r="835">
      <c r="D835" s="89"/>
    </row>
    <row r="836">
      <c r="D836" s="89"/>
    </row>
    <row r="837">
      <c r="D837" s="89"/>
    </row>
    <row r="838">
      <c r="D838" s="89"/>
    </row>
    <row r="839">
      <c r="D839" s="89"/>
    </row>
    <row r="840">
      <c r="D840" s="89"/>
    </row>
    <row r="841">
      <c r="D841" s="89"/>
    </row>
    <row r="842">
      <c r="D842" s="89"/>
    </row>
    <row r="843">
      <c r="D843" s="89"/>
    </row>
    <row r="844">
      <c r="D844" s="89"/>
    </row>
    <row r="845">
      <c r="D845" s="89"/>
    </row>
    <row r="846">
      <c r="D846" s="89"/>
    </row>
    <row r="847">
      <c r="D847" s="89"/>
    </row>
    <row r="848">
      <c r="D848" s="89"/>
    </row>
    <row r="849">
      <c r="D849" s="89"/>
    </row>
    <row r="850">
      <c r="D850" s="89"/>
    </row>
    <row r="851">
      <c r="D851" s="89"/>
    </row>
    <row r="852">
      <c r="D852" s="89"/>
    </row>
    <row r="853">
      <c r="D853" s="89"/>
    </row>
    <row r="854">
      <c r="D854" s="89"/>
    </row>
    <row r="855">
      <c r="D855" s="89"/>
    </row>
    <row r="856">
      <c r="D856" s="89"/>
    </row>
    <row r="857">
      <c r="D857" s="89"/>
    </row>
    <row r="858">
      <c r="D858" s="89"/>
    </row>
    <row r="859">
      <c r="D859" s="89"/>
    </row>
    <row r="860">
      <c r="D860" s="89"/>
    </row>
    <row r="861">
      <c r="D861" s="89"/>
    </row>
    <row r="862">
      <c r="D862" s="89"/>
    </row>
    <row r="863">
      <c r="D863" s="89"/>
    </row>
    <row r="864">
      <c r="D864" s="89"/>
    </row>
    <row r="865">
      <c r="D865" s="89"/>
    </row>
    <row r="866">
      <c r="D866" s="89"/>
    </row>
    <row r="867">
      <c r="D867" s="89"/>
    </row>
    <row r="868">
      <c r="D868" s="89"/>
    </row>
    <row r="869">
      <c r="D869" s="89"/>
    </row>
    <row r="870">
      <c r="D870" s="89"/>
    </row>
    <row r="871">
      <c r="D871" s="89"/>
    </row>
    <row r="872">
      <c r="D872" s="89"/>
    </row>
    <row r="873">
      <c r="D873" s="89"/>
    </row>
    <row r="874">
      <c r="D874" s="89"/>
    </row>
    <row r="875">
      <c r="D875" s="89"/>
    </row>
    <row r="876">
      <c r="D876" s="89"/>
    </row>
    <row r="877">
      <c r="D877" s="89"/>
    </row>
    <row r="878">
      <c r="D878" s="89"/>
    </row>
    <row r="879">
      <c r="D879" s="89"/>
    </row>
    <row r="880">
      <c r="D880" s="89"/>
    </row>
    <row r="881">
      <c r="D881" s="89"/>
    </row>
    <row r="882">
      <c r="D882" s="89"/>
    </row>
    <row r="883">
      <c r="D883" s="89"/>
    </row>
    <row r="884">
      <c r="D884" s="89"/>
    </row>
    <row r="885">
      <c r="D885" s="89"/>
    </row>
    <row r="886">
      <c r="D886" s="89"/>
    </row>
    <row r="887">
      <c r="D887" s="89"/>
    </row>
    <row r="888">
      <c r="D888" s="89"/>
    </row>
    <row r="889">
      <c r="D889" s="89"/>
    </row>
    <row r="890">
      <c r="D890" s="89"/>
    </row>
    <row r="891">
      <c r="D891" s="89"/>
    </row>
    <row r="892">
      <c r="D892" s="89"/>
    </row>
    <row r="893">
      <c r="D893" s="89"/>
    </row>
    <row r="894">
      <c r="D894" s="89"/>
    </row>
    <row r="895">
      <c r="D895" s="89"/>
    </row>
    <row r="896">
      <c r="D896" s="89"/>
    </row>
    <row r="897">
      <c r="D897" s="89"/>
    </row>
    <row r="898">
      <c r="D898" s="89"/>
    </row>
    <row r="899">
      <c r="D899" s="89"/>
    </row>
    <row r="900">
      <c r="D900" s="89"/>
    </row>
    <row r="901">
      <c r="D901" s="89"/>
    </row>
    <row r="902">
      <c r="D902" s="89"/>
    </row>
    <row r="903">
      <c r="D903" s="89"/>
    </row>
    <row r="904">
      <c r="D904" s="89"/>
    </row>
    <row r="905">
      <c r="D905" s="89"/>
    </row>
    <row r="906">
      <c r="D906" s="89"/>
    </row>
    <row r="907">
      <c r="D907" s="89"/>
    </row>
    <row r="908">
      <c r="D908" s="89"/>
    </row>
    <row r="909">
      <c r="D909" s="89"/>
    </row>
    <row r="910">
      <c r="D910" s="89"/>
    </row>
    <row r="911">
      <c r="D911" s="89"/>
    </row>
    <row r="912">
      <c r="D912" s="89"/>
    </row>
    <row r="913">
      <c r="D913" s="89"/>
    </row>
    <row r="914">
      <c r="D914" s="89"/>
    </row>
    <row r="915">
      <c r="D915" s="89"/>
    </row>
    <row r="916">
      <c r="D916" s="89"/>
    </row>
    <row r="917">
      <c r="D917" s="89"/>
    </row>
    <row r="918">
      <c r="D918" s="89"/>
    </row>
    <row r="919">
      <c r="D919" s="89"/>
    </row>
    <row r="920">
      <c r="D920" s="89"/>
    </row>
    <row r="921">
      <c r="D921" s="89"/>
    </row>
    <row r="922">
      <c r="D922" s="89"/>
    </row>
    <row r="923">
      <c r="D923" s="89"/>
    </row>
    <row r="924">
      <c r="D924" s="89"/>
    </row>
    <row r="925">
      <c r="D925" s="89"/>
    </row>
    <row r="926">
      <c r="D926" s="89"/>
    </row>
  </sheetData>
  <mergeCells count="11">
    <mergeCell ref="I2:I3"/>
    <mergeCell ref="J2:J3"/>
    <mergeCell ref="K2:K3"/>
    <mergeCell ref="L2:L3"/>
    <mergeCell ref="A1:G1"/>
    <mergeCell ref="H1:H2"/>
    <mergeCell ref="I1:L1"/>
    <mergeCell ref="A2:A3"/>
    <mergeCell ref="B2:B3"/>
    <mergeCell ref="C2:C3"/>
    <mergeCell ref="D2:G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5.38"/>
    <col customWidth="1" min="7" max="7" width="18.75"/>
    <col customWidth="1" min="8" max="8" width="30.75"/>
    <col customWidth="1" min="9" max="9" width="10.5"/>
  </cols>
  <sheetData>
    <row r="1">
      <c r="A1" s="3" t="s">
        <v>188</v>
      </c>
      <c r="B1" s="5"/>
      <c r="C1" s="5"/>
      <c r="D1" s="5"/>
      <c r="E1" s="5"/>
      <c r="F1" s="5"/>
      <c r="G1" s="5"/>
      <c r="H1" s="6"/>
      <c r="I1" s="8" t="s">
        <v>17</v>
      </c>
    </row>
    <row r="2">
      <c r="A2" s="14" t="s">
        <v>21</v>
      </c>
      <c r="B2" s="14" t="s">
        <v>22</v>
      </c>
      <c r="C2" s="14" t="s">
        <v>24</v>
      </c>
      <c r="D2" s="14" t="s">
        <v>0</v>
      </c>
      <c r="E2" s="18" t="s">
        <v>26</v>
      </c>
      <c r="F2" s="5"/>
      <c r="G2" s="5"/>
      <c r="H2" s="6"/>
      <c r="I2" s="15"/>
    </row>
    <row r="3">
      <c r="A3" s="15"/>
      <c r="B3" s="15"/>
      <c r="C3" s="15"/>
      <c r="D3" s="15"/>
      <c r="E3" s="25" t="s">
        <v>34</v>
      </c>
      <c r="F3" s="25" t="s">
        <v>35</v>
      </c>
      <c r="G3" s="25" t="s">
        <v>36</v>
      </c>
      <c r="H3" s="25" t="s">
        <v>37</v>
      </c>
      <c r="I3" s="29"/>
      <c r="J3" s="55" t="s">
        <v>194</v>
      </c>
      <c r="K3" s="55" t="s">
        <v>195</v>
      </c>
      <c r="L3" s="55" t="s">
        <v>196</v>
      </c>
    </row>
    <row r="4">
      <c r="A4" s="31">
        <v>1.0</v>
      </c>
      <c r="B4" s="1" t="s">
        <v>174</v>
      </c>
      <c r="C4" s="37"/>
      <c r="D4" s="1" t="s">
        <v>6</v>
      </c>
      <c r="E4" s="42">
        <v>5700.0</v>
      </c>
      <c r="F4" s="1">
        <v>5300.0</v>
      </c>
      <c r="G4" s="46">
        <f t="shared" ref="G4:G10" si="1">E4-F4</f>
        <v>400</v>
      </c>
      <c r="H4" s="1"/>
      <c r="I4" s="29"/>
      <c r="J4" s="55" t="s">
        <v>50</v>
      </c>
      <c r="K4" s="55" t="s">
        <v>50</v>
      </c>
    </row>
    <row r="5">
      <c r="A5" s="31">
        <v>2.0</v>
      </c>
      <c r="B5" s="1" t="s">
        <v>197</v>
      </c>
      <c r="C5" s="1">
        <v>1.222107931E9</v>
      </c>
      <c r="D5" s="1" t="s">
        <v>13</v>
      </c>
      <c r="E5" s="42">
        <v>5700.0</v>
      </c>
      <c r="F5" s="1">
        <v>5300.0</v>
      </c>
      <c r="G5" s="46">
        <f t="shared" si="1"/>
        <v>400</v>
      </c>
      <c r="H5" s="1" t="s">
        <v>198</v>
      </c>
      <c r="I5" s="29"/>
      <c r="J5" s="55" t="s">
        <v>57</v>
      </c>
      <c r="K5" s="55" t="s">
        <v>57</v>
      </c>
    </row>
    <row r="6">
      <c r="A6" s="31">
        <v>3.0</v>
      </c>
      <c r="B6" s="1" t="s">
        <v>199</v>
      </c>
      <c r="C6" s="1">
        <v>1.227323363E9</v>
      </c>
      <c r="D6" s="1" t="s">
        <v>13</v>
      </c>
      <c r="E6" s="42">
        <v>5700.0</v>
      </c>
      <c r="F6" s="1">
        <v>5300.0</v>
      </c>
      <c r="G6" s="46">
        <f t="shared" si="1"/>
        <v>400</v>
      </c>
      <c r="H6" s="1" t="s">
        <v>198</v>
      </c>
      <c r="I6" s="29"/>
      <c r="J6" s="55" t="s">
        <v>50</v>
      </c>
      <c r="K6" s="55" t="s">
        <v>57</v>
      </c>
    </row>
    <row r="7">
      <c r="A7" s="31">
        <v>4.0</v>
      </c>
      <c r="B7" s="1" t="s">
        <v>200</v>
      </c>
      <c r="C7" s="37"/>
      <c r="D7" s="1" t="s">
        <v>6</v>
      </c>
      <c r="E7" s="42">
        <v>5700.0</v>
      </c>
      <c r="F7" s="1">
        <v>5300.0</v>
      </c>
      <c r="G7" s="46">
        <f t="shared" si="1"/>
        <v>400</v>
      </c>
      <c r="H7" s="1"/>
      <c r="I7" s="29"/>
      <c r="J7" s="55" t="s">
        <v>50</v>
      </c>
      <c r="K7" s="55" t="s">
        <v>50</v>
      </c>
    </row>
    <row r="8">
      <c r="A8" s="31">
        <v>5.0</v>
      </c>
      <c r="B8" s="1" t="s">
        <v>201</v>
      </c>
      <c r="C8" s="37"/>
      <c r="D8" s="1" t="s">
        <v>6</v>
      </c>
      <c r="E8" s="42">
        <v>5700.0</v>
      </c>
      <c r="F8" s="1">
        <v>5300.0</v>
      </c>
      <c r="G8" s="46">
        <f t="shared" si="1"/>
        <v>400</v>
      </c>
      <c r="H8" s="1"/>
      <c r="I8" s="29"/>
      <c r="J8" s="55" t="s">
        <v>50</v>
      </c>
      <c r="K8" s="55" t="s">
        <v>57</v>
      </c>
    </row>
    <row r="9">
      <c r="A9" s="31">
        <v>6.0</v>
      </c>
      <c r="B9" s="157" t="s">
        <v>202</v>
      </c>
      <c r="C9" s="37"/>
      <c r="D9" s="1" t="s">
        <v>6</v>
      </c>
      <c r="E9" s="42">
        <v>5700.0</v>
      </c>
      <c r="F9" s="1">
        <v>5300.0</v>
      </c>
      <c r="G9" s="46">
        <f t="shared" si="1"/>
        <v>400</v>
      </c>
      <c r="H9" s="1"/>
      <c r="I9" s="29"/>
      <c r="J9" s="55" t="s">
        <v>193</v>
      </c>
      <c r="K9" s="55" t="s">
        <v>203</v>
      </c>
    </row>
    <row r="10">
      <c r="A10" s="31">
        <v>7.0</v>
      </c>
      <c r="B10" s="158" t="s">
        <v>204</v>
      </c>
      <c r="C10" s="37"/>
      <c r="D10" s="1" t="s">
        <v>6</v>
      </c>
      <c r="E10" s="42">
        <v>5700.0</v>
      </c>
      <c r="F10" s="1">
        <v>5300.0</v>
      </c>
      <c r="G10" s="46">
        <f t="shared" si="1"/>
        <v>400</v>
      </c>
      <c r="H10" s="1"/>
      <c r="I10" s="29"/>
      <c r="J10" s="55" t="s">
        <v>193</v>
      </c>
      <c r="K10" s="55" t="s">
        <v>203</v>
      </c>
    </row>
    <row r="11">
      <c r="A11" s="31">
        <v>8.0</v>
      </c>
      <c r="B11" s="1" t="s">
        <v>205</v>
      </c>
      <c r="C11" s="37"/>
      <c r="D11" s="1" t="s">
        <v>6</v>
      </c>
      <c r="E11" s="42">
        <v>5700.0</v>
      </c>
      <c r="F11" s="1">
        <v>5300.0</v>
      </c>
      <c r="G11" s="1"/>
      <c r="H11" s="1"/>
      <c r="I11" s="29"/>
      <c r="J11" s="55" t="s">
        <v>50</v>
      </c>
      <c r="K11" s="55" t="s">
        <v>57</v>
      </c>
    </row>
    <row r="12">
      <c r="A12" s="31">
        <v>9.0</v>
      </c>
      <c r="B12" s="1" t="s">
        <v>206</v>
      </c>
      <c r="C12" s="37"/>
      <c r="D12" s="1" t="s">
        <v>6</v>
      </c>
      <c r="E12" s="42">
        <v>5700.0</v>
      </c>
      <c r="F12" s="1">
        <v>1550.0</v>
      </c>
      <c r="G12" s="46">
        <f t="shared" ref="G12:G41" si="2">E12-F12</f>
        <v>4150</v>
      </c>
      <c r="H12" s="1" t="s">
        <v>207</v>
      </c>
      <c r="I12" s="29"/>
    </row>
    <row r="13">
      <c r="A13" s="31">
        <v>10.0</v>
      </c>
      <c r="B13" s="37"/>
      <c r="C13" s="37"/>
      <c r="D13" s="37"/>
      <c r="E13" s="42">
        <v>5700.0</v>
      </c>
      <c r="F13" s="37"/>
      <c r="G13" s="46">
        <f t="shared" si="2"/>
        <v>5700</v>
      </c>
      <c r="H13" s="37"/>
      <c r="I13" s="29"/>
    </row>
    <row r="14">
      <c r="A14" s="31">
        <v>11.0</v>
      </c>
      <c r="B14" s="37"/>
      <c r="C14" s="37"/>
      <c r="D14" s="37"/>
      <c r="E14" s="42">
        <v>5700.0</v>
      </c>
      <c r="F14" s="37"/>
      <c r="G14" s="46">
        <f t="shared" si="2"/>
        <v>5700</v>
      </c>
      <c r="H14" s="37"/>
      <c r="I14" s="29"/>
    </row>
    <row r="15">
      <c r="A15" s="31">
        <v>12.0</v>
      </c>
      <c r="B15" s="37"/>
      <c r="C15" s="37"/>
      <c r="D15" s="37"/>
      <c r="E15" s="42">
        <v>5700.0</v>
      </c>
      <c r="F15" s="37"/>
      <c r="G15" s="46">
        <f t="shared" si="2"/>
        <v>5700</v>
      </c>
      <c r="H15" s="37"/>
      <c r="I15" s="29"/>
    </row>
    <row r="16">
      <c r="A16" s="31">
        <v>13.0</v>
      </c>
      <c r="B16" s="37"/>
      <c r="C16" s="37"/>
      <c r="D16" s="37"/>
      <c r="E16" s="42">
        <v>5700.0</v>
      </c>
      <c r="F16" s="37"/>
      <c r="G16" s="46">
        <f t="shared" si="2"/>
        <v>5700</v>
      </c>
      <c r="H16" s="37"/>
      <c r="I16" s="29"/>
    </row>
    <row r="17">
      <c r="A17" s="31">
        <v>14.0</v>
      </c>
      <c r="B17" s="37"/>
      <c r="C17" s="37"/>
      <c r="D17" s="37"/>
      <c r="E17" s="42">
        <v>5700.0</v>
      </c>
      <c r="F17" s="37"/>
      <c r="G17" s="46">
        <f t="shared" si="2"/>
        <v>5700</v>
      </c>
      <c r="H17" s="37"/>
      <c r="I17" s="29"/>
    </row>
    <row r="18">
      <c r="A18" s="31">
        <v>15.0</v>
      </c>
      <c r="B18" s="37"/>
      <c r="C18" s="37"/>
      <c r="D18" s="37"/>
      <c r="E18" s="42">
        <v>5700.0</v>
      </c>
      <c r="F18" s="37"/>
      <c r="G18" s="46">
        <f t="shared" si="2"/>
        <v>5700</v>
      </c>
      <c r="H18" s="37"/>
      <c r="I18" s="29"/>
    </row>
    <row r="19">
      <c r="A19" s="31">
        <v>16.0</v>
      </c>
      <c r="B19" s="37"/>
      <c r="C19" s="37"/>
      <c r="D19" s="37"/>
      <c r="E19" s="42">
        <v>5700.0</v>
      </c>
      <c r="F19" s="37"/>
      <c r="G19" s="46">
        <f t="shared" si="2"/>
        <v>5700</v>
      </c>
      <c r="H19" s="37"/>
      <c r="I19" s="29"/>
    </row>
    <row r="20">
      <c r="A20" s="31">
        <v>17.0</v>
      </c>
      <c r="B20" s="37"/>
      <c r="C20" s="37"/>
      <c r="D20" s="37"/>
      <c r="E20" s="42">
        <v>5700.0</v>
      </c>
      <c r="F20" s="37"/>
      <c r="G20" s="46">
        <f t="shared" si="2"/>
        <v>5700</v>
      </c>
      <c r="H20" s="37"/>
      <c r="I20" s="29"/>
    </row>
    <row r="21">
      <c r="A21" s="31">
        <v>18.0</v>
      </c>
      <c r="B21" s="37"/>
      <c r="C21" s="37"/>
      <c r="D21" s="37"/>
      <c r="E21" s="42">
        <v>5700.0</v>
      </c>
      <c r="F21" s="37"/>
      <c r="G21" s="46">
        <f t="shared" si="2"/>
        <v>5700</v>
      </c>
      <c r="H21" s="37"/>
      <c r="I21" s="29"/>
    </row>
    <row r="22">
      <c r="A22" s="31">
        <v>19.0</v>
      </c>
      <c r="B22" s="37"/>
      <c r="C22" s="37"/>
      <c r="D22" s="37"/>
      <c r="E22" s="42">
        <v>5700.0</v>
      </c>
      <c r="F22" s="37"/>
      <c r="G22" s="46">
        <f t="shared" si="2"/>
        <v>5700</v>
      </c>
      <c r="H22" s="37"/>
      <c r="I22" s="29"/>
    </row>
    <row r="23">
      <c r="A23" s="31">
        <v>20.0</v>
      </c>
      <c r="B23" s="37"/>
      <c r="C23" s="37"/>
      <c r="D23" s="37"/>
      <c r="E23" s="42">
        <v>5700.0</v>
      </c>
      <c r="F23" s="37"/>
      <c r="G23" s="46">
        <f t="shared" si="2"/>
        <v>5700</v>
      </c>
      <c r="H23" s="37"/>
      <c r="I23" s="29"/>
    </row>
    <row r="24">
      <c r="A24" s="31">
        <v>21.0</v>
      </c>
      <c r="B24" s="37"/>
      <c r="C24" s="37"/>
      <c r="D24" s="37"/>
      <c r="E24" s="42">
        <v>5700.0</v>
      </c>
      <c r="F24" s="37"/>
      <c r="G24" s="46">
        <f t="shared" si="2"/>
        <v>5700</v>
      </c>
      <c r="H24" s="37"/>
      <c r="I24" s="29"/>
    </row>
    <row r="25">
      <c r="A25" s="31">
        <v>22.0</v>
      </c>
      <c r="B25" s="37"/>
      <c r="C25" s="37"/>
      <c r="D25" s="37"/>
      <c r="E25" s="42">
        <v>5700.0</v>
      </c>
      <c r="F25" s="37"/>
      <c r="G25" s="46">
        <f t="shared" si="2"/>
        <v>5700</v>
      </c>
      <c r="H25" s="37"/>
      <c r="I25" s="29"/>
    </row>
    <row r="26">
      <c r="A26" s="31">
        <v>23.0</v>
      </c>
      <c r="B26" s="37"/>
      <c r="C26" s="37"/>
      <c r="D26" s="37"/>
      <c r="E26" s="42">
        <v>5700.0</v>
      </c>
      <c r="F26" s="37"/>
      <c r="G26" s="46">
        <f t="shared" si="2"/>
        <v>5700</v>
      </c>
      <c r="H26" s="37"/>
      <c r="I26" s="29"/>
    </row>
    <row r="27">
      <c r="A27" s="31">
        <v>24.0</v>
      </c>
      <c r="B27" s="37"/>
      <c r="C27" s="37"/>
      <c r="D27" s="37"/>
      <c r="E27" s="42">
        <v>5700.0</v>
      </c>
      <c r="F27" s="37"/>
      <c r="G27" s="46">
        <f t="shared" si="2"/>
        <v>5700</v>
      </c>
      <c r="H27" s="37"/>
      <c r="I27" s="29"/>
    </row>
    <row r="28">
      <c r="A28" s="31">
        <v>25.0</v>
      </c>
      <c r="B28" s="37"/>
      <c r="C28" s="37"/>
      <c r="D28" s="37"/>
      <c r="E28" s="42">
        <v>5700.0</v>
      </c>
      <c r="F28" s="37"/>
      <c r="G28" s="46">
        <f t="shared" si="2"/>
        <v>5700</v>
      </c>
      <c r="H28" s="37"/>
      <c r="I28" s="29"/>
    </row>
    <row r="29">
      <c r="A29" s="31">
        <v>26.0</v>
      </c>
      <c r="B29" s="37"/>
      <c r="C29" s="37"/>
      <c r="D29" s="37"/>
      <c r="E29" s="42">
        <v>5700.0</v>
      </c>
      <c r="F29" s="37"/>
      <c r="G29" s="46">
        <f t="shared" si="2"/>
        <v>5700</v>
      </c>
      <c r="H29" s="37"/>
      <c r="I29" s="29"/>
    </row>
    <row r="30">
      <c r="A30" s="31">
        <v>27.0</v>
      </c>
      <c r="B30" s="37"/>
      <c r="C30" s="37"/>
      <c r="D30" s="37"/>
      <c r="E30" s="42">
        <v>5700.0</v>
      </c>
      <c r="F30" s="37"/>
      <c r="G30" s="46">
        <f t="shared" si="2"/>
        <v>5700</v>
      </c>
      <c r="H30" s="37"/>
      <c r="I30" s="29"/>
    </row>
    <row r="31">
      <c r="A31" s="31">
        <v>28.0</v>
      </c>
      <c r="B31" s="37"/>
      <c r="C31" s="37"/>
      <c r="D31" s="37"/>
      <c r="E31" s="42">
        <v>5700.0</v>
      </c>
      <c r="F31" s="37"/>
      <c r="G31" s="46">
        <f t="shared" si="2"/>
        <v>5700</v>
      </c>
      <c r="H31" s="37"/>
      <c r="I31" s="29"/>
    </row>
    <row r="32">
      <c r="A32" s="31">
        <v>29.0</v>
      </c>
      <c r="B32" s="37"/>
      <c r="C32" s="37"/>
      <c r="D32" s="37"/>
      <c r="E32" s="42">
        <v>5700.0</v>
      </c>
      <c r="F32" s="37"/>
      <c r="G32" s="46">
        <f t="shared" si="2"/>
        <v>5700</v>
      </c>
      <c r="H32" s="37"/>
      <c r="I32" s="29"/>
    </row>
    <row r="33">
      <c r="A33" s="31">
        <v>30.0</v>
      </c>
      <c r="B33" s="37"/>
      <c r="C33" s="37"/>
      <c r="D33" s="37"/>
      <c r="E33" s="42">
        <v>5700.0</v>
      </c>
      <c r="F33" s="37"/>
      <c r="G33" s="46">
        <f t="shared" si="2"/>
        <v>5700</v>
      </c>
      <c r="H33" s="37"/>
      <c r="I33" s="29"/>
    </row>
    <row r="34">
      <c r="A34" s="31">
        <v>31.0</v>
      </c>
      <c r="B34" s="37"/>
      <c r="C34" s="37"/>
      <c r="D34" s="37"/>
      <c r="E34" s="42">
        <v>5700.0</v>
      </c>
      <c r="F34" s="37"/>
      <c r="G34" s="46">
        <f t="shared" si="2"/>
        <v>5700</v>
      </c>
      <c r="H34" s="37"/>
      <c r="I34" s="29"/>
    </row>
    <row r="35">
      <c r="A35" s="31">
        <v>32.0</v>
      </c>
      <c r="B35" s="37"/>
      <c r="C35" s="37"/>
      <c r="D35" s="37"/>
      <c r="E35" s="42">
        <v>5700.0</v>
      </c>
      <c r="F35" s="37"/>
      <c r="G35" s="46">
        <f t="shared" si="2"/>
        <v>5700</v>
      </c>
      <c r="H35" s="37"/>
      <c r="I35" s="29"/>
    </row>
    <row r="36">
      <c r="A36" s="31">
        <v>33.0</v>
      </c>
      <c r="B36" s="37"/>
      <c r="C36" s="37"/>
      <c r="D36" s="37"/>
      <c r="E36" s="42">
        <v>5700.0</v>
      </c>
      <c r="F36" s="37"/>
      <c r="G36" s="46">
        <f t="shared" si="2"/>
        <v>5700</v>
      </c>
      <c r="H36" s="37"/>
      <c r="I36" s="29"/>
    </row>
    <row r="37">
      <c r="A37" s="31">
        <v>34.0</v>
      </c>
      <c r="B37" s="37"/>
      <c r="C37" s="37"/>
      <c r="D37" s="37"/>
      <c r="E37" s="42">
        <v>5700.0</v>
      </c>
      <c r="F37" s="37"/>
      <c r="G37" s="46">
        <f t="shared" si="2"/>
        <v>5700</v>
      </c>
      <c r="H37" s="37"/>
      <c r="I37" s="29"/>
    </row>
    <row r="38">
      <c r="A38" s="31">
        <v>35.0</v>
      </c>
      <c r="B38" s="37"/>
      <c r="C38" s="37"/>
      <c r="D38" s="37"/>
      <c r="E38" s="42">
        <v>5700.0</v>
      </c>
      <c r="F38" s="37"/>
      <c r="G38" s="46">
        <f t="shared" si="2"/>
        <v>5700</v>
      </c>
      <c r="H38" s="37"/>
      <c r="I38" s="29"/>
    </row>
    <row r="39">
      <c r="A39" s="31">
        <v>36.0</v>
      </c>
      <c r="B39" s="37"/>
      <c r="C39" s="37"/>
      <c r="D39" s="37"/>
      <c r="E39" s="42">
        <v>5700.0</v>
      </c>
      <c r="F39" s="37"/>
      <c r="G39" s="46">
        <f t="shared" si="2"/>
        <v>5700</v>
      </c>
      <c r="H39" s="37"/>
      <c r="I39" s="29"/>
    </row>
    <row r="40">
      <c r="A40" s="31">
        <v>37.0</v>
      </c>
      <c r="B40" s="37"/>
      <c r="C40" s="37"/>
      <c r="D40" s="37"/>
      <c r="E40" s="42">
        <v>5700.0</v>
      </c>
      <c r="F40" s="37"/>
      <c r="G40" s="46">
        <f t="shared" si="2"/>
        <v>5700</v>
      </c>
      <c r="H40" s="37"/>
      <c r="I40" s="29"/>
    </row>
    <row r="41">
      <c r="A41" s="31">
        <v>38.0</v>
      </c>
      <c r="B41" s="37"/>
      <c r="C41" s="37"/>
      <c r="D41" s="37"/>
      <c r="E41" s="42">
        <v>5700.0</v>
      </c>
      <c r="F41" s="37"/>
      <c r="G41" s="46">
        <f t="shared" si="2"/>
        <v>5700</v>
      </c>
      <c r="H41" s="37"/>
      <c r="I41" s="29"/>
    </row>
    <row r="42">
      <c r="A42" s="1" t="s">
        <v>28</v>
      </c>
      <c r="B42" s="40">
        <f>countif(B3:B41,"*")</f>
        <v>9</v>
      </c>
      <c r="C42" s="37"/>
      <c r="D42" s="37"/>
      <c r="E42" s="37"/>
      <c r="F42" s="37"/>
      <c r="G42" s="37"/>
      <c r="H42" s="37"/>
      <c r="I42" s="37"/>
    </row>
    <row r="43">
      <c r="G43" s="37"/>
    </row>
  </sheetData>
  <mergeCells count="7">
    <mergeCell ref="A1:H1"/>
    <mergeCell ref="I1:I2"/>
    <mergeCell ref="A2:A3"/>
    <mergeCell ref="B2:B3"/>
    <mergeCell ref="C2:C3"/>
    <mergeCell ref="D2:D3"/>
    <mergeCell ref="E2:H2"/>
  </mergeCells>
  <dataValidations>
    <dataValidation type="list" allowBlank="1" sqref="D4:D41">
      <formula1>Data!$A$2:$A$12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9.38"/>
    <col customWidth="1" min="5" max="5" width="9.38"/>
    <col customWidth="1" min="6" max="6" width="13.25"/>
    <col customWidth="1" min="7" max="7" width="10.38"/>
  </cols>
  <sheetData>
    <row r="1">
      <c r="A1" s="3" t="s">
        <v>208</v>
      </c>
      <c r="B1" s="5"/>
      <c r="C1" s="5"/>
      <c r="D1" s="5"/>
      <c r="E1" s="5"/>
      <c r="F1" s="5"/>
      <c r="G1" s="5"/>
      <c r="H1" s="6"/>
      <c r="I1" s="8" t="s">
        <v>17</v>
      </c>
    </row>
    <row r="2">
      <c r="A2" s="14" t="s">
        <v>21</v>
      </c>
      <c r="B2" s="14" t="s">
        <v>22</v>
      </c>
      <c r="C2" s="14" t="s">
        <v>24</v>
      </c>
      <c r="D2" s="14" t="s">
        <v>0</v>
      </c>
      <c r="E2" s="18" t="s">
        <v>26</v>
      </c>
      <c r="F2" s="5"/>
      <c r="G2" s="5"/>
      <c r="H2" s="6"/>
      <c r="I2" s="15"/>
    </row>
    <row r="3">
      <c r="A3" s="15"/>
      <c r="B3" s="15"/>
      <c r="C3" s="15"/>
      <c r="D3" s="15"/>
      <c r="E3" s="25" t="s">
        <v>34</v>
      </c>
      <c r="F3" s="25" t="s">
        <v>35</v>
      </c>
      <c r="G3" s="25" t="s">
        <v>36</v>
      </c>
      <c r="H3" s="25" t="s">
        <v>37</v>
      </c>
      <c r="I3" s="29"/>
    </row>
    <row r="4">
      <c r="A4" s="31">
        <v>1.0</v>
      </c>
      <c r="B4" s="1" t="s">
        <v>209</v>
      </c>
      <c r="C4" s="37"/>
      <c r="D4" s="1" t="s">
        <v>6</v>
      </c>
      <c r="E4" s="42">
        <v>5700.0</v>
      </c>
      <c r="F4" s="1">
        <v>7600.0</v>
      </c>
      <c r="G4" s="46">
        <f t="shared" ref="G4:G41" si="1">E4-F4</f>
        <v>-1900</v>
      </c>
      <c r="H4" s="1"/>
      <c r="I4" s="29"/>
    </row>
    <row r="5">
      <c r="A5" s="31">
        <v>2.0</v>
      </c>
      <c r="B5" s="1" t="s">
        <v>210</v>
      </c>
      <c r="C5" s="37"/>
      <c r="D5" s="1" t="s">
        <v>6</v>
      </c>
      <c r="E5" s="42">
        <v>5700.0</v>
      </c>
      <c r="F5" s="1">
        <v>4000.0</v>
      </c>
      <c r="G5" s="46">
        <f t="shared" si="1"/>
        <v>1700</v>
      </c>
      <c r="H5" s="1"/>
      <c r="I5" s="29"/>
    </row>
    <row r="6">
      <c r="A6" s="31">
        <v>3.0</v>
      </c>
      <c r="B6" s="1" t="s">
        <v>166</v>
      </c>
      <c r="C6" s="37"/>
      <c r="D6" s="1" t="s">
        <v>6</v>
      </c>
      <c r="E6" s="42">
        <v>5700.0</v>
      </c>
      <c r="F6" s="1">
        <v>3000.0</v>
      </c>
      <c r="G6" s="46">
        <f t="shared" si="1"/>
        <v>2700</v>
      </c>
      <c r="H6" s="1" t="s">
        <v>211</v>
      </c>
      <c r="I6" s="29"/>
    </row>
    <row r="7">
      <c r="A7" s="31">
        <v>4.0</v>
      </c>
      <c r="B7" s="1" t="s">
        <v>212</v>
      </c>
      <c r="C7" s="37"/>
      <c r="D7" s="1" t="s">
        <v>6</v>
      </c>
      <c r="E7" s="42">
        <v>5700.0</v>
      </c>
      <c r="F7" s="1" t="s">
        <v>213</v>
      </c>
      <c r="G7" s="37" t="str">
        <f t="shared" si="1"/>
        <v>#VALUE!</v>
      </c>
      <c r="H7" s="1"/>
      <c r="I7" s="29"/>
    </row>
    <row r="8">
      <c r="A8" s="31">
        <v>5.0</v>
      </c>
      <c r="B8" s="1" t="s">
        <v>214</v>
      </c>
      <c r="C8" s="37"/>
      <c r="D8" s="1" t="s">
        <v>6</v>
      </c>
      <c r="E8" s="42">
        <v>5700.0</v>
      </c>
      <c r="F8" s="1" t="s">
        <v>213</v>
      </c>
      <c r="G8" s="37" t="str">
        <f t="shared" si="1"/>
        <v>#VALUE!</v>
      </c>
      <c r="H8" s="1"/>
      <c r="I8" s="29"/>
    </row>
    <row r="9">
      <c r="A9" s="31">
        <v>6.0</v>
      </c>
      <c r="B9" s="1" t="s">
        <v>215</v>
      </c>
      <c r="C9" s="37"/>
      <c r="D9" s="1" t="s">
        <v>6</v>
      </c>
      <c r="E9" s="42">
        <v>5700.0</v>
      </c>
      <c r="F9" s="1" t="s">
        <v>213</v>
      </c>
      <c r="G9" s="37" t="str">
        <f t="shared" si="1"/>
        <v>#VALUE!</v>
      </c>
      <c r="H9" s="1"/>
      <c r="I9" s="29"/>
    </row>
    <row r="10">
      <c r="A10" s="31">
        <v>7.0</v>
      </c>
      <c r="B10" s="1" t="s">
        <v>216</v>
      </c>
      <c r="C10" s="37"/>
      <c r="D10" s="1" t="s">
        <v>6</v>
      </c>
      <c r="E10" s="42">
        <v>5700.0</v>
      </c>
      <c r="F10" s="1" t="s">
        <v>213</v>
      </c>
      <c r="G10" s="37" t="str">
        <f t="shared" si="1"/>
        <v>#VALUE!</v>
      </c>
      <c r="H10" s="1"/>
      <c r="I10" s="29"/>
    </row>
    <row r="11">
      <c r="A11" s="31">
        <v>8.0</v>
      </c>
      <c r="B11" s="1" t="s">
        <v>217</v>
      </c>
      <c r="C11" s="37"/>
      <c r="D11" s="1" t="s">
        <v>6</v>
      </c>
      <c r="E11" s="42">
        <v>5700.0</v>
      </c>
      <c r="F11" s="1">
        <v>7000.0</v>
      </c>
      <c r="G11" s="46">
        <f t="shared" si="1"/>
        <v>-1300</v>
      </c>
      <c r="H11" s="1"/>
      <c r="I11" s="29"/>
    </row>
    <row r="12">
      <c r="A12" s="31">
        <v>9.0</v>
      </c>
      <c r="B12" s="1" t="s">
        <v>218</v>
      </c>
      <c r="C12" s="37"/>
      <c r="D12" s="1" t="s">
        <v>6</v>
      </c>
      <c r="E12" s="42">
        <v>5700.0</v>
      </c>
      <c r="F12" s="1">
        <v>7000.0</v>
      </c>
      <c r="G12" s="46">
        <f t="shared" si="1"/>
        <v>-1300</v>
      </c>
      <c r="H12" s="37"/>
      <c r="I12" s="29"/>
    </row>
    <row r="13">
      <c r="A13" s="31">
        <v>10.0</v>
      </c>
      <c r="B13" s="1" t="s">
        <v>219</v>
      </c>
      <c r="C13" s="37"/>
      <c r="D13" s="1" t="s">
        <v>6</v>
      </c>
      <c r="E13" s="42">
        <v>5700.0</v>
      </c>
      <c r="F13" s="1">
        <v>7000.0</v>
      </c>
      <c r="G13" s="46">
        <f t="shared" si="1"/>
        <v>-1300</v>
      </c>
      <c r="H13" s="37"/>
      <c r="I13" s="29"/>
    </row>
    <row r="14">
      <c r="A14" s="31">
        <v>11.0</v>
      </c>
      <c r="B14" s="1" t="s">
        <v>220</v>
      </c>
      <c r="C14" s="37"/>
      <c r="D14" s="1" t="s">
        <v>6</v>
      </c>
      <c r="E14" s="42">
        <v>5700.0</v>
      </c>
      <c r="F14" s="37"/>
      <c r="G14" s="46">
        <f t="shared" si="1"/>
        <v>5700</v>
      </c>
      <c r="H14" s="37"/>
      <c r="I14" s="29"/>
    </row>
    <row r="15">
      <c r="A15" s="31">
        <v>12.0</v>
      </c>
      <c r="B15" s="1" t="s">
        <v>221</v>
      </c>
      <c r="C15" s="37"/>
      <c r="D15" s="1" t="s">
        <v>6</v>
      </c>
      <c r="E15" s="42">
        <v>5700.0</v>
      </c>
      <c r="F15" s="1">
        <v>500.0</v>
      </c>
      <c r="G15" s="46">
        <f t="shared" si="1"/>
        <v>5200</v>
      </c>
      <c r="H15" s="37"/>
      <c r="I15" s="29"/>
    </row>
    <row r="16">
      <c r="A16" s="31">
        <v>13.0</v>
      </c>
      <c r="B16" s="1" t="s">
        <v>222</v>
      </c>
      <c r="C16" s="37"/>
      <c r="D16" s="1" t="s">
        <v>6</v>
      </c>
      <c r="E16" s="42">
        <v>5700.0</v>
      </c>
      <c r="F16" s="1">
        <v>3000.0</v>
      </c>
      <c r="G16" s="46">
        <f t="shared" si="1"/>
        <v>2700</v>
      </c>
      <c r="H16" s="37"/>
      <c r="I16" s="29"/>
    </row>
    <row r="17">
      <c r="A17" s="31">
        <v>14.0</v>
      </c>
      <c r="B17" s="1" t="s">
        <v>223</v>
      </c>
      <c r="C17" s="37"/>
      <c r="D17" s="1" t="s">
        <v>6</v>
      </c>
      <c r="E17" s="42">
        <v>5700.0</v>
      </c>
      <c r="F17" s="1">
        <v>7000.0</v>
      </c>
      <c r="G17" s="46">
        <f t="shared" si="1"/>
        <v>-1300</v>
      </c>
      <c r="H17" s="37"/>
      <c r="I17" s="29"/>
    </row>
    <row r="18">
      <c r="A18" s="31">
        <v>15.0</v>
      </c>
      <c r="B18" s="1" t="s">
        <v>224</v>
      </c>
      <c r="C18" s="37"/>
      <c r="D18" s="1" t="s">
        <v>6</v>
      </c>
      <c r="E18" s="42">
        <v>5700.0</v>
      </c>
      <c r="F18" s="1">
        <v>7000.0</v>
      </c>
      <c r="G18" s="46">
        <f t="shared" si="1"/>
        <v>-1300</v>
      </c>
      <c r="H18" s="37"/>
      <c r="I18" s="29"/>
    </row>
    <row r="19">
      <c r="A19" s="31">
        <v>16.0</v>
      </c>
      <c r="B19" s="1" t="s">
        <v>225</v>
      </c>
      <c r="C19" s="37"/>
      <c r="D19" s="1" t="s">
        <v>6</v>
      </c>
      <c r="E19" s="42">
        <v>5700.0</v>
      </c>
      <c r="F19" s="1">
        <v>7000.0</v>
      </c>
      <c r="G19" s="46">
        <f t="shared" si="1"/>
        <v>-1300</v>
      </c>
      <c r="H19" s="37"/>
      <c r="I19" s="29"/>
    </row>
    <row r="20">
      <c r="A20" s="31">
        <v>17.0</v>
      </c>
      <c r="B20" s="1" t="s">
        <v>226</v>
      </c>
      <c r="C20" s="37"/>
      <c r="D20" s="1" t="s">
        <v>6</v>
      </c>
      <c r="E20" s="42">
        <v>5700.0</v>
      </c>
      <c r="F20" s="1">
        <v>7000.0</v>
      </c>
      <c r="G20" s="46">
        <f t="shared" si="1"/>
        <v>-1300</v>
      </c>
      <c r="H20" s="37"/>
      <c r="I20" s="29"/>
    </row>
    <row r="21">
      <c r="A21" s="31">
        <v>18.0</v>
      </c>
      <c r="B21" s="1" t="s">
        <v>227</v>
      </c>
      <c r="C21" s="37"/>
      <c r="D21" s="1" t="s">
        <v>6</v>
      </c>
      <c r="E21" s="42">
        <v>5700.0</v>
      </c>
      <c r="F21" s="1">
        <v>7000.0</v>
      </c>
      <c r="G21" s="46">
        <f t="shared" si="1"/>
        <v>-1300</v>
      </c>
      <c r="H21" s="37"/>
      <c r="I21" s="29"/>
    </row>
    <row r="22">
      <c r="A22" s="31">
        <v>19.0</v>
      </c>
      <c r="B22" s="1" t="s">
        <v>228</v>
      </c>
      <c r="C22" s="37"/>
      <c r="D22" s="1" t="s">
        <v>6</v>
      </c>
      <c r="E22" s="42">
        <v>5700.0</v>
      </c>
      <c r="F22" s="1" t="s">
        <v>213</v>
      </c>
      <c r="G22" s="37" t="str">
        <f t="shared" si="1"/>
        <v>#VALUE!</v>
      </c>
      <c r="H22" s="37"/>
      <c r="I22" s="29"/>
    </row>
    <row r="23">
      <c r="A23" s="31">
        <v>20.0</v>
      </c>
      <c r="B23" s="1" t="s">
        <v>229</v>
      </c>
      <c r="C23" s="37"/>
      <c r="D23" s="1" t="s">
        <v>6</v>
      </c>
      <c r="E23" s="42">
        <v>5700.0</v>
      </c>
      <c r="F23" s="1">
        <v>7000.0</v>
      </c>
      <c r="G23" s="46">
        <f t="shared" si="1"/>
        <v>-1300</v>
      </c>
      <c r="H23" s="37"/>
      <c r="I23" s="29"/>
    </row>
    <row r="24">
      <c r="A24" s="31">
        <v>21.0</v>
      </c>
      <c r="B24" s="1" t="s">
        <v>178</v>
      </c>
      <c r="C24" s="37"/>
      <c r="D24" s="1" t="s">
        <v>6</v>
      </c>
      <c r="E24" s="42">
        <v>5700.0</v>
      </c>
      <c r="F24" s="1" t="s">
        <v>230</v>
      </c>
      <c r="G24" s="37" t="str">
        <f t="shared" si="1"/>
        <v>#VALUE!</v>
      </c>
      <c r="H24" s="37"/>
      <c r="I24" s="29"/>
    </row>
    <row r="25">
      <c r="A25" s="31">
        <v>22.0</v>
      </c>
      <c r="B25" s="1" t="s">
        <v>231</v>
      </c>
      <c r="C25" s="37"/>
      <c r="D25" s="1" t="s">
        <v>6</v>
      </c>
      <c r="E25" s="42">
        <v>5700.0</v>
      </c>
      <c r="F25" s="1" t="s">
        <v>213</v>
      </c>
      <c r="G25" s="37" t="str">
        <f t="shared" si="1"/>
        <v>#VALUE!</v>
      </c>
      <c r="H25" s="37"/>
      <c r="I25" s="29"/>
    </row>
    <row r="26">
      <c r="A26" s="31">
        <v>23.0</v>
      </c>
      <c r="B26" s="1" t="s">
        <v>232</v>
      </c>
      <c r="C26" s="37"/>
      <c r="D26" s="1" t="s">
        <v>6</v>
      </c>
      <c r="E26" s="42">
        <v>5700.0</v>
      </c>
      <c r="F26" s="1">
        <v>2500.0</v>
      </c>
      <c r="G26" s="46">
        <f t="shared" si="1"/>
        <v>3200</v>
      </c>
      <c r="H26" s="37"/>
      <c r="I26" s="29"/>
    </row>
    <row r="27">
      <c r="A27" s="31">
        <v>24.0</v>
      </c>
      <c r="B27" s="1" t="s">
        <v>233</v>
      </c>
      <c r="C27" s="37"/>
      <c r="D27" s="1" t="s">
        <v>6</v>
      </c>
      <c r="E27" s="42">
        <v>5700.0</v>
      </c>
      <c r="F27" s="1" t="s">
        <v>213</v>
      </c>
      <c r="G27" s="37" t="str">
        <f t="shared" si="1"/>
        <v>#VALUE!</v>
      </c>
      <c r="H27" s="37"/>
      <c r="I27" s="29"/>
    </row>
    <row r="28">
      <c r="A28" s="31">
        <v>25.0</v>
      </c>
      <c r="B28" s="1" t="s">
        <v>234</v>
      </c>
      <c r="C28" s="37"/>
      <c r="D28" s="1" t="s">
        <v>6</v>
      </c>
      <c r="E28" s="42">
        <v>5700.0</v>
      </c>
      <c r="F28" s="1">
        <v>7000.0</v>
      </c>
      <c r="G28" s="46">
        <f t="shared" si="1"/>
        <v>-1300</v>
      </c>
      <c r="H28" s="37"/>
      <c r="I28" s="29"/>
    </row>
    <row r="29">
      <c r="A29" s="31">
        <v>26.0</v>
      </c>
      <c r="B29" s="1" t="s">
        <v>235</v>
      </c>
      <c r="C29" s="37"/>
      <c r="D29" s="1" t="s">
        <v>6</v>
      </c>
      <c r="E29" s="42">
        <v>5700.0</v>
      </c>
      <c r="F29" s="1">
        <v>7600.0</v>
      </c>
      <c r="G29" s="46">
        <f t="shared" si="1"/>
        <v>-1900</v>
      </c>
      <c r="H29" s="37"/>
      <c r="I29" s="29"/>
    </row>
    <row r="30">
      <c r="A30" s="31">
        <v>27.0</v>
      </c>
      <c r="B30" s="1" t="s">
        <v>236</v>
      </c>
      <c r="C30" s="37"/>
      <c r="D30" s="1" t="s">
        <v>6</v>
      </c>
      <c r="E30" s="42">
        <v>5700.0</v>
      </c>
      <c r="F30" s="1">
        <v>7000.0</v>
      </c>
      <c r="G30" s="46">
        <f t="shared" si="1"/>
        <v>-1300</v>
      </c>
      <c r="H30" s="37"/>
      <c r="I30" s="29"/>
    </row>
    <row r="31">
      <c r="A31" s="31">
        <v>28.0</v>
      </c>
      <c r="B31" s="1" t="s">
        <v>237</v>
      </c>
      <c r="C31" s="37"/>
      <c r="D31" s="1" t="s">
        <v>6</v>
      </c>
      <c r="E31" s="42">
        <v>5700.0</v>
      </c>
      <c r="F31" s="37"/>
      <c r="G31" s="46">
        <f t="shared" si="1"/>
        <v>5700</v>
      </c>
      <c r="H31" s="37"/>
      <c r="I31" s="29"/>
    </row>
    <row r="32">
      <c r="A32" s="31">
        <v>29.0</v>
      </c>
      <c r="B32" s="1" t="s">
        <v>238</v>
      </c>
      <c r="C32" s="37"/>
      <c r="D32" s="1" t="s">
        <v>6</v>
      </c>
      <c r="E32" s="42">
        <v>5700.0</v>
      </c>
      <c r="F32" s="37"/>
      <c r="G32" s="46">
        <f t="shared" si="1"/>
        <v>5700</v>
      </c>
      <c r="H32" s="37"/>
      <c r="I32" s="29"/>
    </row>
    <row r="33">
      <c r="A33" s="31">
        <v>30.0</v>
      </c>
      <c r="B33" s="1" t="s">
        <v>239</v>
      </c>
      <c r="C33" s="37"/>
      <c r="D33" s="1" t="s">
        <v>6</v>
      </c>
      <c r="E33" s="42">
        <v>5700.0</v>
      </c>
      <c r="F33" s="1">
        <v>7000.0</v>
      </c>
      <c r="G33" s="46">
        <f t="shared" si="1"/>
        <v>-1300</v>
      </c>
      <c r="H33" s="37"/>
      <c r="I33" s="29"/>
    </row>
    <row r="34">
      <c r="A34" s="31">
        <v>31.0</v>
      </c>
      <c r="B34" s="1" t="s">
        <v>240</v>
      </c>
      <c r="C34" s="37"/>
      <c r="D34" s="1" t="s">
        <v>6</v>
      </c>
      <c r="E34" s="42">
        <v>5700.0</v>
      </c>
      <c r="F34" s="37"/>
      <c r="G34" s="46">
        <f t="shared" si="1"/>
        <v>5700</v>
      </c>
      <c r="H34" s="37"/>
      <c r="I34" s="29"/>
    </row>
    <row r="35">
      <c r="A35" s="31">
        <v>32.0</v>
      </c>
      <c r="B35" s="1" t="s">
        <v>241</v>
      </c>
      <c r="C35" s="37"/>
      <c r="D35" s="1" t="s">
        <v>6</v>
      </c>
      <c r="E35" s="42">
        <v>5700.0</v>
      </c>
      <c r="F35" s="37"/>
      <c r="G35" s="46">
        <f t="shared" si="1"/>
        <v>5700</v>
      </c>
      <c r="H35" s="37"/>
      <c r="I35" s="29"/>
    </row>
    <row r="36">
      <c r="A36" s="31">
        <v>33.0</v>
      </c>
      <c r="B36" s="1" t="s">
        <v>242</v>
      </c>
      <c r="C36" s="37"/>
      <c r="D36" s="1" t="s">
        <v>6</v>
      </c>
      <c r="E36" s="42">
        <v>5700.0</v>
      </c>
      <c r="F36" s="1">
        <v>7000.0</v>
      </c>
      <c r="G36" s="46">
        <f t="shared" si="1"/>
        <v>-1300</v>
      </c>
      <c r="H36" s="37"/>
      <c r="I36" s="29"/>
    </row>
    <row r="37">
      <c r="A37" s="31">
        <v>34.0</v>
      </c>
      <c r="B37" s="1" t="s">
        <v>243</v>
      </c>
      <c r="C37" s="37"/>
      <c r="D37" s="1" t="s">
        <v>6</v>
      </c>
      <c r="E37" s="42">
        <v>5700.0</v>
      </c>
      <c r="F37" s="1">
        <v>7000.0</v>
      </c>
      <c r="G37" s="46">
        <f t="shared" si="1"/>
        <v>-1300</v>
      </c>
      <c r="H37" s="37"/>
      <c r="I37" s="29"/>
    </row>
    <row r="38">
      <c r="A38" s="31">
        <v>35.0</v>
      </c>
      <c r="B38" s="37"/>
      <c r="C38" s="37"/>
      <c r="D38" s="37"/>
      <c r="E38" s="42">
        <v>5700.0</v>
      </c>
      <c r="F38" s="37"/>
      <c r="G38" s="46">
        <f t="shared" si="1"/>
        <v>5700</v>
      </c>
      <c r="H38" s="37"/>
      <c r="I38" s="29"/>
    </row>
    <row r="39">
      <c r="A39" s="31">
        <v>36.0</v>
      </c>
      <c r="B39" s="37"/>
      <c r="C39" s="37"/>
      <c r="D39" s="37"/>
      <c r="E39" s="42">
        <v>5700.0</v>
      </c>
      <c r="F39" s="37"/>
      <c r="G39" s="46">
        <f t="shared" si="1"/>
        <v>5700</v>
      </c>
      <c r="H39" s="37"/>
      <c r="I39" s="29"/>
    </row>
    <row r="40">
      <c r="A40" s="31">
        <v>37.0</v>
      </c>
      <c r="B40" s="37"/>
      <c r="C40" s="37"/>
      <c r="D40" s="37"/>
      <c r="E40" s="42">
        <v>5700.0</v>
      </c>
      <c r="F40" s="37"/>
      <c r="G40" s="46">
        <f t="shared" si="1"/>
        <v>5700</v>
      </c>
      <c r="H40" s="37"/>
      <c r="I40" s="29"/>
    </row>
    <row r="41">
      <c r="A41" s="31">
        <v>38.0</v>
      </c>
      <c r="B41" s="37"/>
      <c r="C41" s="37"/>
      <c r="D41" s="37"/>
      <c r="E41" s="42">
        <v>5700.0</v>
      </c>
      <c r="F41" s="37"/>
      <c r="G41" s="46">
        <f t="shared" si="1"/>
        <v>5700</v>
      </c>
      <c r="H41" s="37"/>
      <c r="I41" s="29"/>
    </row>
    <row r="42">
      <c r="A42" s="1" t="s">
        <v>28</v>
      </c>
      <c r="B42" s="40">
        <f>countif(B3:B41,"*")</f>
        <v>34</v>
      </c>
      <c r="C42" s="37"/>
      <c r="D42" s="37"/>
      <c r="E42" s="37"/>
      <c r="F42" s="37"/>
      <c r="G42" s="37"/>
      <c r="H42" s="37"/>
      <c r="I42" s="37"/>
    </row>
  </sheetData>
  <mergeCells count="7">
    <mergeCell ref="A1:H1"/>
    <mergeCell ref="I1:I2"/>
    <mergeCell ref="A2:A3"/>
    <mergeCell ref="B2:B3"/>
    <mergeCell ref="C2:C3"/>
    <mergeCell ref="D2:D3"/>
    <mergeCell ref="E2:H2"/>
  </mergeCells>
  <dataValidations>
    <dataValidation type="list" allowBlank="1" sqref="D4:D41">
      <formula1>Data!$A$2:$A$12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4" max="4" width="6.25"/>
    <col customWidth="1" min="7" max="7" width="7.88"/>
  </cols>
  <sheetData>
    <row r="1">
      <c r="A1" s="159" t="s">
        <v>244</v>
      </c>
      <c r="B1" s="5"/>
      <c r="C1" s="5"/>
      <c r="D1" s="5"/>
      <c r="E1" s="5"/>
      <c r="F1" s="5"/>
      <c r="G1" s="5"/>
      <c r="H1" s="6"/>
      <c r="I1" s="8" t="s">
        <v>17</v>
      </c>
    </row>
    <row r="2">
      <c r="A2" s="14" t="s">
        <v>21</v>
      </c>
      <c r="B2" s="14" t="s">
        <v>22</v>
      </c>
      <c r="C2" s="14" t="s">
        <v>24</v>
      </c>
      <c r="D2" s="14" t="s">
        <v>0</v>
      </c>
      <c r="E2" s="18" t="s">
        <v>26</v>
      </c>
      <c r="F2" s="5"/>
      <c r="G2" s="5"/>
      <c r="H2" s="6"/>
      <c r="I2" s="15"/>
    </row>
    <row r="3">
      <c r="A3" s="15"/>
      <c r="B3" s="15"/>
      <c r="C3" s="15"/>
      <c r="D3" s="15"/>
      <c r="E3" s="25" t="s">
        <v>34</v>
      </c>
      <c r="F3" s="25" t="s">
        <v>35</v>
      </c>
      <c r="G3" s="25" t="s">
        <v>36</v>
      </c>
      <c r="H3" s="25" t="s">
        <v>37</v>
      </c>
      <c r="I3" s="29"/>
    </row>
    <row r="4">
      <c r="A4" s="31">
        <v>1.0</v>
      </c>
      <c r="B4" s="1" t="s">
        <v>245</v>
      </c>
      <c r="C4" s="37"/>
      <c r="D4" s="1" t="s">
        <v>10</v>
      </c>
      <c r="E4" s="42">
        <v>850.0</v>
      </c>
      <c r="F4" s="37"/>
      <c r="G4" s="46">
        <f t="shared" ref="G4:G41" si="1">E4-F4</f>
        <v>850</v>
      </c>
      <c r="H4" s="1"/>
      <c r="I4" s="29"/>
    </row>
    <row r="5">
      <c r="A5" s="31">
        <v>2.0</v>
      </c>
      <c r="B5" s="1" t="s">
        <v>246</v>
      </c>
      <c r="C5" s="37"/>
      <c r="D5" s="1"/>
      <c r="E5" s="42">
        <v>850.0</v>
      </c>
      <c r="F5" s="1">
        <v>850.0</v>
      </c>
      <c r="G5" s="46">
        <f t="shared" si="1"/>
        <v>0</v>
      </c>
      <c r="H5" s="1"/>
      <c r="I5" s="29"/>
    </row>
    <row r="6">
      <c r="A6" s="31">
        <v>3.0</v>
      </c>
      <c r="B6" s="1"/>
      <c r="C6" s="37"/>
      <c r="D6" s="1"/>
      <c r="E6" s="42">
        <v>850.0</v>
      </c>
      <c r="F6" s="1"/>
      <c r="G6" s="46">
        <f t="shared" si="1"/>
        <v>850</v>
      </c>
      <c r="H6" s="1"/>
      <c r="I6" s="29"/>
    </row>
    <row r="7">
      <c r="A7" s="31">
        <v>4.0</v>
      </c>
      <c r="B7" s="1"/>
      <c r="C7" s="37"/>
      <c r="D7" s="1"/>
      <c r="E7" s="42">
        <v>850.0</v>
      </c>
      <c r="F7" s="1"/>
      <c r="G7" s="46">
        <f t="shared" si="1"/>
        <v>850</v>
      </c>
      <c r="H7" s="1"/>
      <c r="I7" s="29"/>
    </row>
    <row r="8">
      <c r="A8" s="31">
        <v>5.0</v>
      </c>
      <c r="B8" s="1"/>
      <c r="C8" s="37"/>
      <c r="D8" s="1"/>
      <c r="E8" s="42">
        <v>850.0</v>
      </c>
      <c r="F8" s="37"/>
      <c r="G8" s="46">
        <f t="shared" si="1"/>
        <v>850</v>
      </c>
      <c r="H8" s="1"/>
      <c r="I8" s="29"/>
    </row>
    <row r="9">
      <c r="A9" s="31">
        <v>6.0</v>
      </c>
      <c r="B9" s="1"/>
      <c r="C9" s="37"/>
      <c r="D9" s="1"/>
      <c r="E9" s="42">
        <v>850.0</v>
      </c>
      <c r="F9" s="1"/>
      <c r="G9" s="46">
        <f t="shared" si="1"/>
        <v>850</v>
      </c>
      <c r="H9" s="1"/>
      <c r="I9" s="29"/>
    </row>
    <row r="10">
      <c r="A10" s="31">
        <v>7.0</v>
      </c>
      <c r="B10" s="1"/>
      <c r="C10" s="37"/>
      <c r="D10" s="1"/>
      <c r="E10" s="42">
        <v>850.0</v>
      </c>
      <c r="F10" s="37"/>
      <c r="G10" s="46">
        <f t="shared" si="1"/>
        <v>850</v>
      </c>
      <c r="H10" s="1"/>
      <c r="I10" s="29"/>
    </row>
    <row r="11">
      <c r="A11" s="31">
        <v>8.0</v>
      </c>
      <c r="B11" s="1"/>
      <c r="C11" s="37"/>
      <c r="D11" s="1"/>
      <c r="E11" s="42">
        <v>850.0</v>
      </c>
      <c r="F11" s="1"/>
      <c r="G11" s="46">
        <f t="shared" si="1"/>
        <v>850</v>
      </c>
      <c r="H11" s="1"/>
      <c r="I11" s="29"/>
    </row>
    <row r="12">
      <c r="A12" s="31">
        <v>9.0</v>
      </c>
      <c r="B12" s="1"/>
      <c r="C12" s="37"/>
      <c r="D12" s="1"/>
      <c r="E12" s="42">
        <v>850.0</v>
      </c>
      <c r="F12" s="37"/>
      <c r="G12" s="46">
        <f t="shared" si="1"/>
        <v>850</v>
      </c>
      <c r="H12" s="37"/>
      <c r="I12" s="29"/>
    </row>
    <row r="13">
      <c r="A13" s="31">
        <v>10.0</v>
      </c>
      <c r="B13" s="37"/>
      <c r="C13" s="37"/>
      <c r="D13" s="37"/>
      <c r="E13" s="42">
        <v>850.0</v>
      </c>
      <c r="F13" s="37"/>
      <c r="G13" s="46">
        <f t="shared" si="1"/>
        <v>850</v>
      </c>
      <c r="H13" s="37"/>
      <c r="I13" s="29"/>
    </row>
    <row r="14">
      <c r="A14" s="31">
        <v>11.0</v>
      </c>
      <c r="B14" s="37"/>
      <c r="C14" s="37"/>
      <c r="D14" s="37"/>
      <c r="E14" s="42">
        <v>850.0</v>
      </c>
      <c r="F14" s="37"/>
      <c r="G14" s="46">
        <f t="shared" si="1"/>
        <v>850</v>
      </c>
      <c r="H14" s="37"/>
      <c r="I14" s="29"/>
    </row>
    <row r="15">
      <c r="A15" s="31">
        <v>12.0</v>
      </c>
      <c r="B15" s="37"/>
      <c r="C15" s="37"/>
      <c r="D15" s="37"/>
      <c r="E15" s="42">
        <v>850.0</v>
      </c>
      <c r="F15" s="37"/>
      <c r="G15" s="46">
        <f t="shared" si="1"/>
        <v>850</v>
      </c>
      <c r="H15" s="37"/>
      <c r="I15" s="29"/>
    </row>
    <row r="16">
      <c r="A16" s="31">
        <v>13.0</v>
      </c>
      <c r="B16" s="37"/>
      <c r="C16" s="37"/>
      <c r="D16" s="37"/>
      <c r="E16" s="42">
        <v>850.0</v>
      </c>
      <c r="F16" s="37"/>
      <c r="G16" s="46">
        <f t="shared" si="1"/>
        <v>850</v>
      </c>
      <c r="H16" s="37"/>
      <c r="I16" s="29"/>
    </row>
    <row r="17">
      <c r="A17" s="31">
        <v>14.0</v>
      </c>
      <c r="B17" s="37"/>
      <c r="C17" s="37"/>
      <c r="D17" s="37"/>
      <c r="E17" s="42">
        <v>850.0</v>
      </c>
      <c r="F17" s="37"/>
      <c r="G17" s="46">
        <f t="shared" si="1"/>
        <v>850</v>
      </c>
      <c r="H17" s="37"/>
      <c r="I17" s="29"/>
    </row>
    <row r="18">
      <c r="A18" s="31">
        <v>15.0</v>
      </c>
      <c r="B18" s="37"/>
      <c r="C18" s="37"/>
      <c r="D18" s="37"/>
      <c r="E18" s="42">
        <v>850.0</v>
      </c>
      <c r="F18" s="37"/>
      <c r="G18" s="46">
        <f t="shared" si="1"/>
        <v>850</v>
      </c>
      <c r="H18" s="37"/>
      <c r="I18" s="29"/>
    </row>
    <row r="19">
      <c r="A19" s="31">
        <v>16.0</v>
      </c>
      <c r="B19" s="37"/>
      <c r="C19" s="37"/>
      <c r="D19" s="37"/>
      <c r="E19" s="42">
        <v>850.0</v>
      </c>
      <c r="F19" s="37"/>
      <c r="G19" s="46">
        <f t="shared" si="1"/>
        <v>850</v>
      </c>
      <c r="H19" s="37"/>
      <c r="I19" s="29"/>
    </row>
    <row r="20">
      <c r="A20" s="31">
        <v>17.0</v>
      </c>
      <c r="B20" s="37"/>
      <c r="C20" s="37"/>
      <c r="D20" s="37"/>
      <c r="E20" s="42">
        <v>850.0</v>
      </c>
      <c r="F20" s="37"/>
      <c r="G20" s="46">
        <f t="shared" si="1"/>
        <v>850</v>
      </c>
      <c r="H20" s="37"/>
      <c r="I20" s="29"/>
    </row>
    <row r="21">
      <c r="A21" s="31">
        <v>18.0</v>
      </c>
      <c r="B21" s="37"/>
      <c r="C21" s="37"/>
      <c r="D21" s="37"/>
      <c r="E21" s="42">
        <v>850.0</v>
      </c>
      <c r="F21" s="37"/>
      <c r="G21" s="46">
        <f t="shared" si="1"/>
        <v>850</v>
      </c>
      <c r="H21" s="37"/>
      <c r="I21" s="29"/>
    </row>
    <row r="22">
      <c r="A22" s="31">
        <v>19.0</v>
      </c>
      <c r="B22" s="37"/>
      <c r="C22" s="37"/>
      <c r="D22" s="37"/>
      <c r="E22" s="42">
        <v>850.0</v>
      </c>
      <c r="F22" s="37"/>
      <c r="G22" s="46">
        <f t="shared" si="1"/>
        <v>850</v>
      </c>
      <c r="H22" s="37"/>
      <c r="I22" s="29"/>
    </row>
    <row r="23">
      <c r="A23" s="31">
        <v>20.0</v>
      </c>
      <c r="B23" s="37"/>
      <c r="C23" s="37"/>
      <c r="D23" s="37"/>
      <c r="E23" s="42">
        <v>850.0</v>
      </c>
      <c r="F23" s="37"/>
      <c r="G23" s="46">
        <f t="shared" si="1"/>
        <v>850</v>
      </c>
      <c r="H23" s="37"/>
      <c r="I23" s="29"/>
    </row>
    <row r="24">
      <c r="A24" s="31">
        <v>21.0</v>
      </c>
      <c r="B24" s="37"/>
      <c r="C24" s="37"/>
      <c r="D24" s="37"/>
      <c r="E24" s="42">
        <v>850.0</v>
      </c>
      <c r="F24" s="37"/>
      <c r="G24" s="46">
        <f t="shared" si="1"/>
        <v>850</v>
      </c>
      <c r="H24" s="37"/>
      <c r="I24" s="29"/>
    </row>
    <row r="25">
      <c r="A25" s="31">
        <v>22.0</v>
      </c>
      <c r="B25" s="37"/>
      <c r="C25" s="37"/>
      <c r="D25" s="37"/>
      <c r="E25" s="42">
        <v>850.0</v>
      </c>
      <c r="F25" s="37"/>
      <c r="G25" s="46">
        <f t="shared" si="1"/>
        <v>850</v>
      </c>
      <c r="H25" s="37"/>
      <c r="I25" s="29"/>
    </row>
    <row r="26">
      <c r="A26" s="31">
        <v>23.0</v>
      </c>
      <c r="B26" s="37"/>
      <c r="C26" s="37"/>
      <c r="D26" s="37"/>
      <c r="E26" s="42">
        <v>850.0</v>
      </c>
      <c r="F26" s="37"/>
      <c r="G26" s="46">
        <f t="shared" si="1"/>
        <v>850</v>
      </c>
      <c r="H26" s="37"/>
      <c r="I26" s="29"/>
    </row>
    <row r="27">
      <c r="A27" s="31">
        <v>24.0</v>
      </c>
      <c r="B27" s="37"/>
      <c r="C27" s="37"/>
      <c r="D27" s="37"/>
      <c r="E27" s="42">
        <v>850.0</v>
      </c>
      <c r="F27" s="37"/>
      <c r="G27" s="46">
        <f t="shared" si="1"/>
        <v>850</v>
      </c>
      <c r="H27" s="37"/>
      <c r="I27" s="29"/>
    </row>
    <row r="28">
      <c r="A28" s="31">
        <v>25.0</v>
      </c>
      <c r="B28" s="37"/>
      <c r="C28" s="37"/>
      <c r="D28" s="37"/>
      <c r="E28" s="42"/>
      <c r="F28" s="37"/>
      <c r="G28" s="46">
        <f t="shared" si="1"/>
        <v>0</v>
      </c>
      <c r="H28" s="37"/>
      <c r="I28" s="29"/>
    </row>
    <row r="29">
      <c r="A29" s="31">
        <v>26.0</v>
      </c>
      <c r="B29" s="37"/>
      <c r="C29" s="37"/>
      <c r="D29" s="37"/>
      <c r="E29" s="42"/>
      <c r="F29" s="37"/>
      <c r="G29" s="46">
        <f t="shared" si="1"/>
        <v>0</v>
      </c>
      <c r="H29" s="37"/>
      <c r="I29" s="29"/>
    </row>
    <row r="30">
      <c r="A30" s="31">
        <v>27.0</v>
      </c>
      <c r="B30" s="37"/>
      <c r="C30" s="37"/>
      <c r="D30" s="37"/>
      <c r="E30" s="42"/>
      <c r="F30" s="37"/>
      <c r="G30" s="46">
        <f t="shared" si="1"/>
        <v>0</v>
      </c>
      <c r="H30" s="37"/>
      <c r="I30" s="29"/>
    </row>
    <row r="31">
      <c r="A31" s="31">
        <v>28.0</v>
      </c>
      <c r="B31" s="37"/>
      <c r="C31" s="37"/>
      <c r="D31" s="37"/>
      <c r="E31" s="42"/>
      <c r="F31" s="37"/>
      <c r="G31" s="46">
        <f t="shared" si="1"/>
        <v>0</v>
      </c>
      <c r="H31" s="37"/>
      <c r="I31" s="29"/>
    </row>
    <row r="32">
      <c r="A32" s="31">
        <v>29.0</v>
      </c>
      <c r="B32" s="37"/>
      <c r="C32" s="37"/>
      <c r="D32" s="37"/>
      <c r="E32" s="42"/>
      <c r="F32" s="37"/>
      <c r="G32" s="46">
        <f t="shared" si="1"/>
        <v>0</v>
      </c>
      <c r="H32" s="37"/>
      <c r="I32" s="29"/>
    </row>
    <row r="33">
      <c r="A33" s="31">
        <v>30.0</v>
      </c>
      <c r="B33" s="37"/>
      <c r="C33" s="37"/>
      <c r="D33" s="37"/>
      <c r="E33" s="42"/>
      <c r="F33" s="37"/>
      <c r="G33" s="46">
        <f t="shared" si="1"/>
        <v>0</v>
      </c>
      <c r="H33" s="37"/>
      <c r="I33" s="29"/>
    </row>
    <row r="34">
      <c r="A34" s="31">
        <v>31.0</v>
      </c>
      <c r="B34" s="37"/>
      <c r="C34" s="37"/>
      <c r="D34" s="37"/>
      <c r="E34" s="42"/>
      <c r="F34" s="37"/>
      <c r="G34" s="46">
        <f t="shared" si="1"/>
        <v>0</v>
      </c>
      <c r="H34" s="37"/>
      <c r="I34" s="29"/>
    </row>
    <row r="35">
      <c r="A35" s="31">
        <v>32.0</v>
      </c>
      <c r="B35" s="37"/>
      <c r="C35" s="37"/>
      <c r="D35" s="37"/>
      <c r="E35" s="42"/>
      <c r="F35" s="37"/>
      <c r="G35" s="46">
        <f t="shared" si="1"/>
        <v>0</v>
      </c>
      <c r="H35" s="37"/>
      <c r="I35" s="29"/>
    </row>
    <row r="36">
      <c r="A36" s="31">
        <v>33.0</v>
      </c>
      <c r="B36" s="37"/>
      <c r="C36" s="37"/>
      <c r="D36" s="37"/>
      <c r="E36" s="42"/>
      <c r="F36" s="37"/>
      <c r="G36" s="46">
        <f t="shared" si="1"/>
        <v>0</v>
      </c>
      <c r="H36" s="37"/>
      <c r="I36" s="29"/>
    </row>
    <row r="37">
      <c r="A37" s="31">
        <v>34.0</v>
      </c>
      <c r="B37" s="37"/>
      <c r="C37" s="37"/>
      <c r="D37" s="37"/>
      <c r="E37" s="42"/>
      <c r="F37" s="37"/>
      <c r="G37" s="46">
        <f t="shared" si="1"/>
        <v>0</v>
      </c>
      <c r="H37" s="37"/>
      <c r="I37" s="29"/>
    </row>
    <row r="38">
      <c r="A38" s="31">
        <v>35.0</v>
      </c>
      <c r="B38" s="37"/>
      <c r="C38" s="37"/>
      <c r="D38" s="37"/>
      <c r="E38" s="42"/>
      <c r="F38" s="37"/>
      <c r="G38" s="46">
        <f t="shared" si="1"/>
        <v>0</v>
      </c>
      <c r="H38" s="37"/>
      <c r="I38" s="29"/>
    </row>
    <row r="39">
      <c r="A39" s="31">
        <v>36.0</v>
      </c>
      <c r="B39" s="37"/>
      <c r="C39" s="37"/>
      <c r="D39" s="37"/>
      <c r="E39" s="42"/>
      <c r="F39" s="37"/>
      <c r="G39" s="46">
        <f t="shared" si="1"/>
        <v>0</v>
      </c>
      <c r="H39" s="37"/>
      <c r="I39" s="29"/>
    </row>
    <row r="40">
      <c r="A40" s="31">
        <v>37.0</v>
      </c>
      <c r="B40" s="37"/>
      <c r="C40" s="37"/>
      <c r="D40" s="37"/>
      <c r="E40" s="42"/>
      <c r="F40" s="37"/>
      <c r="G40" s="46">
        <f t="shared" si="1"/>
        <v>0</v>
      </c>
      <c r="H40" s="37"/>
      <c r="I40" s="29"/>
    </row>
    <row r="41">
      <c r="A41" s="31">
        <v>38.0</v>
      </c>
      <c r="B41" s="37"/>
      <c r="C41" s="37"/>
      <c r="D41" s="37"/>
      <c r="E41" s="42"/>
      <c r="F41" s="37"/>
      <c r="G41" s="46">
        <f t="shared" si="1"/>
        <v>0</v>
      </c>
      <c r="H41" s="37"/>
      <c r="I41" s="29"/>
    </row>
    <row r="42">
      <c r="A42" s="1" t="s">
        <v>28</v>
      </c>
      <c r="B42" s="40">
        <f>countif(B3:B41,"*")</f>
        <v>2</v>
      </c>
      <c r="C42" s="37"/>
      <c r="D42" s="37"/>
      <c r="E42" s="37"/>
      <c r="F42" s="37"/>
      <c r="G42" s="37"/>
      <c r="H42" s="37"/>
      <c r="I42" s="37"/>
    </row>
  </sheetData>
  <mergeCells count="7">
    <mergeCell ref="A1:H1"/>
    <mergeCell ref="I1:I2"/>
    <mergeCell ref="A2:A3"/>
    <mergeCell ref="B2:B3"/>
    <mergeCell ref="C2:C3"/>
    <mergeCell ref="D2:D3"/>
    <mergeCell ref="E2:H2"/>
  </mergeCells>
  <dataValidations>
    <dataValidation type="list" allowBlank="1" sqref="D4:D41">
      <formula1>Data!$A$2:$A$12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9.5"/>
    <col customWidth="1" min="3" max="3" width="2.75"/>
    <col customWidth="1" min="4" max="4" width="7.5"/>
    <col customWidth="1" min="5" max="5" width="9.13"/>
    <col customWidth="1" min="6" max="6" width="6.0"/>
    <col customWidth="1" min="7" max="7" width="9.38"/>
    <col customWidth="1" min="11" max="11" width="3.13"/>
  </cols>
  <sheetData>
    <row r="1">
      <c r="A1" s="3" t="s">
        <v>247</v>
      </c>
      <c r="B1" s="5"/>
      <c r="C1" s="5"/>
      <c r="D1" s="5"/>
      <c r="E1" s="5"/>
      <c r="F1" s="5"/>
      <c r="G1" s="5"/>
      <c r="H1" s="6"/>
      <c r="I1" s="8" t="s">
        <v>17</v>
      </c>
      <c r="K1" s="3" t="s">
        <v>248</v>
      </c>
      <c r="L1" s="5"/>
      <c r="M1" s="5"/>
      <c r="N1" s="5"/>
      <c r="O1" s="5"/>
      <c r="P1" s="5"/>
      <c r="Q1" s="5"/>
      <c r="R1" s="6"/>
      <c r="S1" s="8" t="s">
        <v>17</v>
      </c>
    </row>
    <row r="2">
      <c r="A2" s="14" t="s">
        <v>21</v>
      </c>
      <c r="B2" s="14" t="s">
        <v>22</v>
      </c>
      <c r="C2" s="14" t="s">
        <v>24</v>
      </c>
      <c r="D2" s="14" t="s">
        <v>0</v>
      </c>
      <c r="E2" s="18" t="s">
        <v>26</v>
      </c>
      <c r="F2" s="5"/>
      <c r="G2" s="5"/>
      <c r="H2" s="6"/>
      <c r="I2" s="15"/>
      <c r="K2" s="14" t="s">
        <v>21</v>
      </c>
      <c r="L2" s="14" t="s">
        <v>22</v>
      </c>
      <c r="M2" s="14" t="s">
        <v>24</v>
      </c>
      <c r="N2" s="14" t="s">
        <v>0</v>
      </c>
      <c r="O2" s="18" t="s">
        <v>26</v>
      </c>
      <c r="P2" s="5"/>
      <c r="Q2" s="5"/>
      <c r="R2" s="6"/>
      <c r="S2" s="15"/>
    </row>
    <row r="3">
      <c r="A3" s="15"/>
      <c r="B3" s="15"/>
      <c r="C3" s="15"/>
      <c r="D3" s="15"/>
      <c r="E3" s="25" t="s">
        <v>34</v>
      </c>
      <c r="F3" s="25" t="s">
        <v>35</v>
      </c>
      <c r="G3" s="25" t="s">
        <v>36</v>
      </c>
      <c r="H3" s="25" t="s">
        <v>37</v>
      </c>
      <c r="I3" s="29"/>
      <c r="K3" s="15"/>
      <c r="L3" s="15"/>
      <c r="M3" s="15"/>
      <c r="N3" s="15"/>
      <c r="O3" s="25" t="s">
        <v>34</v>
      </c>
      <c r="P3" s="25" t="s">
        <v>35</v>
      </c>
      <c r="Q3" s="25" t="s">
        <v>36</v>
      </c>
      <c r="R3" s="25" t="s">
        <v>37</v>
      </c>
      <c r="S3" s="29"/>
    </row>
    <row r="4">
      <c r="A4" s="31">
        <v>1.0</v>
      </c>
      <c r="B4" s="1" t="s">
        <v>249</v>
      </c>
      <c r="C4" s="37"/>
      <c r="D4" s="1" t="s">
        <v>250</v>
      </c>
      <c r="E4" s="42">
        <v>2400.0</v>
      </c>
      <c r="F4" s="1">
        <v>2400.0</v>
      </c>
      <c r="G4" s="46">
        <f t="shared" ref="G4:G9" si="1">E4-F4</f>
        <v>0</v>
      </c>
      <c r="H4" s="1"/>
      <c r="I4" s="29"/>
      <c r="K4" s="31">
        <v>1.0</v>
      </c>
      <c r="L4" s="1"/>
      <c r="M4" s="37"/>
      <c r="N4" s="1"/>
      <c r="O4" s="42">
        <v>0.0</v>
      </c>
      <c r="P4" s="37"/>
      <c r="Q4" s="46">
        <f t="shared" ref="Q4:Q41" si="2">O4-P4</f>
        <v>0</v>
      </c>
      <c r="R4" s="1"/>
      <c r="S4" s="29"/>
    </row>
    <row r="5">
      <c r="A5" s="31">
        <v>2.0</v>
      </c>
      <c r="B5" s="1"/>
      <c r="C5" s="37"/>
      <c r="D5" s="1"/>
      <c r="E5" s="42">
        <v>0.0</v>
      </c>
      <c r="F5" s="37"/>
      <c r="G5" s="46">
        <f t="shared" si="1"/>
        <v>0</v>
      </c>
      <c r="H5" s="1"/>
      <c r="I5" s="29"/>
      <c r="K5" s="31">
        <v>2.0</v>
      </c>
      <c r="L5" s="1"/>
      <c r="M5" s="37"/>
      <c r="N5" s="1"/>
      <c r="O5" s="42">
        <v>0.0</v>
      </c>
      <c r="P5" s="37"/>
      <c r="Q5" s="46">
        <f t="shared" si="2"/>
        <v>0</v>
      </c>
      <c r="R5" s="1"/>
      <c r="S5" s="29"/>
    </row>
    <row r="6">
      <c r="A6" s="31">
        <v>3.0</v>
      </c>
      <c r="B6" s="1"/>
      <c r="C6" s="37"/>
      <c r="D6" s="1"/>
      <c r="E6" s="42">
        <v>0.0</v>
      </c>
      <c r="F6" s="1"/>
      <c r="G6" s="46">
        <f t="shared" si="1"/>
        <v>0</v>
      </c>
      <c r="H6" s="1"/>
      <c r="I6" s="29"/>
      <c r="K6" s="31">
        <v>3.0</v>
      </c>
      <c r="L6" s="1"/>
      <c r="M6" s="37"/>
      <c r="N6" s="1"/>
      <c r="O6" s="42">
        <v>0.0</v>
      </c>
      <c r="P6" s="1"/>
      <c r="Q6" s="46">
        <f t="shared" si="2"/>
        <v>0</v>
      </c>
      <c r="R6" s="1"/>
      <c r="S6" s="29"/>
    </row>
    <row r="7">
      <c r="A7" s="31">
        <v>4.0</v>
      </c>
      <c r="B7" s="1"/>
      <c r="C7" s="37"/>
      <c r="D7" s="1"/>
      <c r="E7" s="42">
        <v>0.0</v>
      </c>
      <c r="F7" s="1"/>
      <c r="G7" s="46">
        <f t="shared" si="1"/>
        <v>0</v>
      </c>
      <c r="H7" s="1"/>
      <c r="I7" s="29"/>
      <c r="K7" s="31">
        <v>4.0</v>
      </c>
      <c r="L7" s="1"/>
      <c r="M7" s="37"/>
      <c r="N7" s="1"/>
      <c r="O7" s="42">
        <v>0.0</v>
      </c>
      <c r="P7" s="1"/>
      <c r="Q7" s="46">
        <f t="shared" si="2"/>
        <v>0</v>
      </c>
      <c r="R7" s="1"/>
      <c r="S7" s="29"/>
    </row>
    <row r="8">
      <c r="A8" s="31">
        <v>5.0</v>
      </c>
      <c r="B8" s="1"/>
      <c r="C8" s="37"/>
      <c r="D8" s="1"/>
      <c r="E8" s="42">
        <v>0.0</v>
      </c>
      <c r="F8" s="37"/>
      <c r="G8" s="46">
        <f t="shared" si="1"/>
        <v>0</v>
      </c>
      <c r="H8" s="1"/>
      <c r="I8" s="29"/>
      <c r="K8" s="31">
        <v>5.0</v>
      </c>
      <c r="L8" s="1"/>
      <c r="M8" s="37"/>
      <c r="N8" s="1"/>
      <c r="O8" s="42">
        <v>0.0</v>
      </c>
      <c r="P8" s="37"/>
      <c r="Q8" s="46">
        <f t="shared" si="2"/>
        <v>0</v>
      </c>
      <c r="R8" s="1"/>
      <c r="S8" s="29"/>
    </row>
    <row r="9">
      <c r="A9" s="31">
        <v>6.0</v>
      </c>
      <c r="B9" s="1"/>
      <c r="C9" s="37"/>
      <c r="D9" s="1"/>
      <c r="E9" s="42">
        <v>0.0</v>
      </c>
      <c r="F9" s="1"/>
      <c r="G9" s="46">
        <f t="shared" si="1"/>
        <v>0</v>
      </c>
      <c r="H9" s="1"/>
      <c r="I9" s="29"/>
      <c r="K9" s="31">
        <v>6.0</v>
      </c>
      <c r="L9" s="1"/>
      <c r="M9" s="37"/>
      <c r="N9" s="1"/>
      <c r="O9" s="42">
        <v>0.0</v>
      </c>
      <c r="P9" s="1"/>
      <c r="Q9" s="46">
        <f t="shared" si="2"/>
        <v>0</v>
      </c>
      <c r="R9" s="1"/>
      <c r="S9" s="29"/>
    </row>
    <row r="10">
      <c r="A10" s="31">
        <v>7.0</v>
      </c>
      <c r="B10" s="1"/>
      <c r="C10" s="37"/>
      <c r="D10" s="1"/>
      <c r="E10" s="42">
        <v>0.0</v>
      </c>
      <c r="F10" s="37"/>
      <c r="G10" s="37"/>
      <c r="H10" s="1"/>
      <c r="I10" s="29"/>
      <c r="K10" s="31">
        <v>7.0</v>
      </c>
      <c r="L10" s="1"/>
      <c r="M10" s="37"/>
      <c r="N10" s="1"/>
      <c r="O10" s="42">
        <v>0.0</v>
      </c>
      <c r="P10" s="37"/>
      <c r="Q10" s="46">
        <f t="shared" si="2"/>
        <v>0</v>
      </c>
      <c r="R10" s="1"/>
      <c r="S10" s="29"/>
    </row>
    <row r="11">
      <c r="A11" s="31">
        <v>8.0</v>
      </c>
      <c r="B11" s="1"/>
      <c r="C11" s="37"/>
      <c r="D11" s="1"/>
      <c r="E11" s="42">
        <v>0.0</v>
      </c>
      <c r="F11" s="1"/>
      <c r="G11" s="46">
        <f t="shared" ref="G11:G41" si="3">E11-F11</f>
        <v>0</v>
      </c>
      <c r="H11" s="1"/>
      <c r="I11" s="29"/>
      <c r="K11" s="31">
        <v>8.0</v>
      </c>
      <c r="L11" s="1"/>
      <c r="M11" s="37"/>
      <c r="N11" s="1"/>
      <c r="O11" s="42">
        <v>0.0</v>
      </c>
      <c r="P11" s="1"/>
      <c r="Q11" s="46">
        <f t="shared" si="2"/>
        <v>0</v>
      </c>
      <c r="R11" s="1"/>
      <c r="S11" s="29"/>
    </row>
    <row r="12">
      <c r="A12" s="31">
        <v>9.0</v>
      </c>
      <c r="B12" s="1"/>
      <c r="C12" s="37"/>
      <c r="D12" s="1"/>
      <c r="E12" s="42">
        <v>0.0</v>
      </c>
      <c r="F12" s="37"/>
      <c r="G12" s="46">
        <f t="shared" si="3"/>
        <v>0</v>
      </c>
      <c r="H12" s="37"/>
      <c r="I12" s="29"/>
      <c r="K12" s="31">
        <v>9.0</v>
      </c>
      <c r="L12" s="1"/>
      <c r="M12" s="37"/>
      <c r="N12" s="1"/>
      <c r="O12" s="42">
        <v>0.0</v>
      </c>
      <c r="P12" s="37"/>
      <c r="Q12" s="46">
        <f t="shared" si="2"/>
        <v>0</v>
      </c>
      <c r="R12" s="37"/>
      <c r="S12" s="29"/>
    </row>
    <row r="13">
      <c r="A13" s="31">
        <v>10.0</v>
      </c>
      <c r="B13" s="37"/>
      <c r="C13" s="37"/>
      <c r="D13" s="37"/>
      <c r="E13" s="42">
        <v>0.0</v>
      </c>
      <c r="F13" s="37"/>
      <c r="G13" s="46">
        <f t="shared" si="3"/>
        <v>0</v>
      </c>
      <c r="H13" s="37"/>
      <c r="I13" s="29"/>
      <c r="K13" s="31">
        <v>10.0</v>
      </c>
      <c r="L13" s="37"/>
      <c r="M13" s="37"/>
      <c r="N13" s="37"/>
      <c r="O13" s="42">
        <v>0.0</v>
      </c>
      <c r="P13" s="37"/>
      <c r="Q13" s="46">
        <f t="shared" si="2"/>
        <v>0</v>
      </c>
      <c r="R13" s="37"/>
      <c r="S13" s="29"/>
    </row>
    <row r="14">
      <c r="A14" s="31">
        <v>11.0</v>
      </c>
      <c r="B14" s="37"/>
      <c r="C14" s="37"/>
      <c r="D14" s="37"/>
      <c r="E14" s="42">
        <v>0.0</v>
      </c>
      <c r="F14" s="37"/>
      <c r="G14" s="46">
        <f t="shared" si="3"/>
        <v>0</v>
      </c>
      <c r="H14" s="37"/>
      <c r="I14" s="29"/>
      <c r="K14" s="31">
        <v>11.0</v>
      </c>
      <c r="L14" s="37"/>
      <c r="M14" s="37"/>
      <c r="N14" s="37"/>
      <c r="O14" s="42">
        <v>0.0</v>
      </c>
      <c r="P14" s="37"/>
      <c r="Q14" s="46">
        <f t="shared" si="2"/>
        <v>0</v>
      </c>
      <c r="R14" s="37"/>
      <c r="S14" s="29"/>
    </row>
    <row r="15">
      <c r="A15" s="31">
        <v>12.0</v>
      </c>
      <c r="B15" s="37"/>
      <c r="C15" s="37"/>
      <c r="D15" s="37"/>
      <c r="E15" s="42">
        <v>0.0</v>
      </c>
      <c r="F15" s="37"/>
      <c r="G15" s="46">
        <f t="shared" si="3"/>
        <v>0</v>
      </c>
      <c r="H15" s="37"/>
      <c r="I15" s="29"/>
      <c r="K15" s="31">
        <v>12.0</v>
      </c>
      <c r="L15" s="37"/>
      <c r="M15" s="37"/>
      <c r="N15" s="37"/>
      <c r="O15" s="42">
        <v>0.0</v>
      </c>
      <c r="P15" s="37"/>
      <c r="Q15" s="46">
        <f t="shared" si="2"/>
        <v>0</v>
      </c>
      <c r="R15" s="37"/>
      <c r="S15" s="29"/>
    </row>
    <row r="16">
      <c r="A16" s="31">
        <v>13.0</v>
      </c>
      <c r="B16" s="37"/>
      <c r="C16" s="37"/>
      <c r="D16" s="37"/>
      <c r="E16" s="42">
        <v>0.0</v>
      </c>
      <c r="F16" s="37"/>
      <c r="G16" s="46">
        <f t="shared" si="3"/>
        <v>0</v>
      </c>
      <c r="H16" s="37"/>
      <c r="I16" s="29"/>
      <c r="K16" s="31">
        <v>13.0</v>
      </c>
      <c r="L16" s="37"/>
      <c r="M16" s="37"/>
      <c r="N16" s="37"/>
      <c r="O16" s="42">
        <v>0.0</v>
      </c>
      <c r="P16" s="37"/>
      <c r="Q16" s="46">
        <f t="shared" si="2"/>
        <v>0</v>
      </c>
      <c r="R16" s="37"/>
      <c r="S16" s="29"/>
    </row>
    <row r="17">
      <c r="A17" s="31">
        <v>14.0</v>
      </c>
      <c r="B17" s="37"/>
      <c r="C17" s="37"/>
      <c r="D17" s="37"/>
      <c r="E17" s="42">
        <v>0.0</v>
      </c>
      <c r="F17" s="37"/>
      <c r="G17" s="46">
        <f t="shared" si="3"/>
        <v>0</v>
      </c>
      <c r="H17" s="37"/>
      <c r="I17" s="29"/>
      <c r="K17" s="31">
        <v>14.0</v>
      </c>
      <c r="L17" s="37"/>
      <c r="M17" s="37"/>
      <c r="N17" s="37"/>
      <c r="O17" s="42">
        <v>0.0</v>
      </c>
      <c r="P17" s="37"/>
      <c r="Q17" s="46">
        <f t="shared" si="2"/>
        <v>0</v>
      </c>
      <c r="R17" s="37"/>
      <c r="S17" s="29"/>
    </row>
    <row r="18">
      <c r="A18" s="31">
        <v>15.0</v>
      </c>
      <c r="B18" s="37"/>
      <c r="C18" s="37"/>
      <c r="D18" s="37"/>
      <c r="E18" s="42">
        <v>0.0</v>
      </c>
      <c r="F18" s="37"/>
      <c r="G18" s="46">
        <f t="shared" si="3"/>
        <v>0</v>
      </c>
      <c r="H18" s="37"/>
      <c r="I18" s="29"/>
      <c r="K18" s="31">
        <v>15.0</v>
      </c>
      <c r="L18" s="37"/>
      <c r="M18" s="37"/>
      <c r="N18" s="37"/>
      <c r="O18" s="42">
        <v>0.0</v>
      </c>
      <c r="P18" s="37"/>
      <c r="Q18" s="46">
        <f t="shared" si="2"/>
        <v>0</v>
      </c>
      <c r="R18" s="37"/>
      <c r="S18" s="29"/>
    </row>
    <row r="19">
      <c r="A19" s="31">
        <v>16.0</v>
      </c>
      <c r="B19" s="37"/>
      <c r="C19" s="37"/>
      <c r="D19" s="37"/>
      <c r="E19" s="42">
        <v>0.0</v>
      </c>
      <c r="F19" s="37"/>
      <c r="G19" s="46">
        <f t="shared" si="3"/>
        <v>0</v>
      </c>
      <c r="H19" s="37"/>
      <c r="I19" s="29"/>
      <c r="K19" s="31">
        <v>16.0</v>
      </c>
      <c r="L19" s="37"/>
      <c r="M19" s="37"/>
      <c r="N19" s="37"/>
      <c r="O19" s="42">
        <v>0.0</v>
      </c>
      <c r="P19" s="37"/>
      <c r="Q19" s="46">
        <f t="shared" si="2"/>
        <v>0</v>
      </c>
      <c r="R19" s="37"/>
      <c r="S19" s="29"/>
    </row>
    <row r="20">
      <c r="A20" s="31">
        <v>17.0</v>
      </c>
      <c r="B20" s="37"/>
      <c r="C20" s="37"/>
      <c r="D20" s="37"/>
      <c r="E20" s="42">
        <v>0.0</v>
      </c>
      <c r="F20" s="37"/>
      <c r="G20" s="46">
        <f t="shared" si="3"/>
        <v>0</v>
      </c>
      <c r="H20" s="37"/>
      <c r="I20" s="29"/>
      <c r="K20" s="31">
        <v>17.0</v>
      </c>
      <c r="L20" s="37"/>
      <c r="M20" s="37"/>
      <c r="N20" s="37"/>
      <c r="O20" s="42">
        <v>0.0</v>
      </c>
      <c r="P20" s="37"/>
      <c r="Q20" s="46">
        <f t="shared" si="2"/>
        <v>0</v>
      </c>
      <c r="R20" s="37"/>
      <c r="S20" s="29"/>
    </row>
    <row r="21">
      <c r="A21" s="31">
        <v>18.0</v>
      </c>
      <c r="B21" s="37"/>
      <c r="C21" s="37"/>
      <c r="D21" s="37"/>
      <c r="E21" s="42">
        <v>0.0</v>
      </c>
      <c r="F21" s="37"/>
      <c r="G21" s="46">
        <f t="shared" si="3"/>
        <v>0</v>
      </c>
      <c r="H21" s="37"/>
      <c r="I21" s="29"/>
      <c r="K21" s="31">
        <v>18.0</v>
      </c>
      <c r="L21" s="37"/>
      <c r="M21" s="37"/>
      <c r="N21" s="37"/>
      <c r="O21" s="42">
        <v>0.0</v>
      </c>
      <c r="P21" s="37"/>
      <c r="Q21" s="46">
        <f t="shared" si="2"/>
        <v>0</v>
      </c>
      <c r="R21" s="37"/>
      <c r="S21" s="29"/>
    </row>
    <row r="22">
      <c r="A22" s="31">
        <v>19.0</v>
      </c>
      <c r="B22" s="37"/>
      <c r="C22" s="37"/>
      <c r="D22" s="37"/>
      <c r="E22" s="42">
        <v>0.0</v>
      </c>
      <c r="F22" s="37"/>
      <c r="G22" s="46">
        <f t="shared" si="3"/>
        <v>0</v>
      </c>
      <c r="H22" s="37"/>
      <c r="I22" s="29"/>
      <c r="K22" s="31">
        <v>19.0</v>
      </c>
      <c r="L22" s="37"/>
      <c r="M22" s="37"/>
      <c r="N22" s="37"/>
      <c r="O22" s="42">
        <v>0.0</v>
      </c>
      <c r="P22" s="37"/>
      <c r="Q22" s="46">
        <f t="shared" si="2"/>
        <v>0</v>
      </c>
      <c r="R22" s="37"/>
      <c r="S22" s="29"/>
    </row>
    <row r="23">
      <c r="A23" s="31">
        <v>20.0</v>
      </c>
      <c r="B23" s="37"/>
      <c r="C23" s="37"/>
      <c r="D23" s="37"/>
      <c r="E23" s="42">
        <v>0.0</v>
      </c>
      <c r="F23" s="37"/>
      <c r="G23" s="46">
        <f t="shared" si="3"/>
        <v>0</v>
      </c>
      <c r="H23" s="37"/>
      <c r="I23" s="29"/>
      <c r="K23" s="31">
        <v>20.0</v>
      </c>
      <c r="L23" s="37"/>
      <c r="M23" s="37"/>
      <c r="N23" s="37"/>
      <c r="O23" s="42">
        <v>0.0</v>
      </c>
      <c r="P23" s="37"/>
      <c r="Q23" s="46">
        <f t="shared" si="2"/>
        <v>0</v>
      </c>
      <c r="R23" s="37"/>
      <c r="S23" s="29"/>
    </row>
    <row r="24">
      <c r="A24" s="31">
        <v>21.0</v>
      </c>
      <c r="B24" s="37"/>
      <c r="C24" s="37"/>
      <c r="D24" s="37"/>
      <c r="E24" s="42">
        <v>0.0</v>
      </c>
      <c r="F24" s="37"/>
      <c r="G24" s="46">
        <f t="shared" si="3"/>
        <v>0</v>
      </c>
      <c r="H24" s="37"/>
      <c r="I24" s="29"/>
      <c r="K24" s="31">
        <v>21.0</v>
      </c>
      <c r="L24" s="37"/>
      <c r="M24" s="37"/>
      <c r="N24" s="37"/>
      <c r="O24" s="42">
        <v>0.0</v>
      </c>
      <c r="P24" s="37"/>
      <c r="Q24" s="46">
        <f t="shared" si="2"/>
        <v>0</v>
      </c>
      <c r="R24" s="37"/>
      <c r="S24" s="29"/>
    </row>
    <row r="25">
      <c r="A25" s="31">
        <v>22.0</v>
      </c>
      <c r="B25" s="37"/>
      <c r="C25" s="37"/>
      <c r="D25" s="37"/>
      <c r="E25" s="42">
        <v>0.0</v>
      </c>
      <c r="F25" s="37"/>
      <c r="G25" s="46">
        <f t="shared" si="3"/>
        <v>0</v>
      </c>
      <c r="H25" s="37"/>
      <c r="I25" s="29"/>
      <c r="K25" s="31">
        <v>22.0</v>
      </c>
      <c r="L25" s="37"/>
      <c r="M25" s="37"/>
      <c r="N25" s="37"/>
      <c r="O25" s="42">
        <v>0.0</v>
      </c>
      <c r="P25" s="37"/>
      <c r="Q25" s="46">
        <f t="shared" si="2"/>
        <v>0</v>
      </c>
      <c r="R25" s="37"/>
      <c r="S25" s="29"/>
    </row>
    <row r="26">
      <c r="A26" s="31">
        <v>23.0</v>
      </c>
      <c r="B26" s="37"/>
      <c r="C26" s="37"/>
      <c r="D26" s="37"/>
      <c r="E26" s="42">
        <v>0.0</v>
      </c>
      <c r="F26" s="37"/>
      <c r="G26" s="46">
        <f t="shared" si="3"/>
        <v>0</v>
      </c>
      <c r="H26" s="37"/>
      <c r="I26" s="29"/>
      <c r="K26" s="31">
        <v>23.0</v>
      </c>
      <c r="L26" s="37"/>
      <c r="M26" s="37"/>
      <c r="N26" s="37"/>
      <c r="O26" s="42">
        <v>0.0</v>
      </c>
      <c r="P26" s="37"/>
      <c r="Q26" s="46">
        <f t="shared" si="2"/>
        <v>0</v>
      </c>
      <c r="R26" s="37"/>
      <c r="S26" s="29"/>
    </row>
    <row r="27">
      <c r="A27" s="31">
        <v>24.0</v>
      </c>
      <c r="B27" s="37"/>
      <c r="C27" s="37"/>
      <c r="D27" s="37"/>
      <c r="E27" s="42">
        <v>0.0</v>
      </c>
      <c r="F27" s="37"/>
      <c r="G27" s="46">
        <f t="shared" si="3"/>
        <v>0</v>
      </c>
      <c r="H27" s="37"/>
      <c r="I27" s="29"/>
      <c r="K27" s="31">
        <v>24.0</v>
      </c>
      <c r="L27" s="37"/>
      <c r="M27" s="37"/>
      <c r="N27" s="37"/>
      <c r="O27" s="42">
        <v>0.0</v>
      </c>
      <c r="P27" s="37"/>
      <c r="Q27" s="46">
        <f t="shared" si="2"/>
        <v>0</v>
      </c>
      <c r="R27" s="37"/>
      <c r="S27" s="29"/>
    </row>
    <row r="28">
      <c r="A28" s="31">
        <v>25.0</v>
      </c>
      <c r="B28" s="37"/>
      <c r="C28" s="37"/>
      <c r="D28" s="37"/>
      <c r="E28" s="42">
        <v>0.0</v>
      </c>
      <c r="F28" s="37"/>
      <c r="G28" s="46">
        <f t="shared" si="3"/>
        <v>0</v>
      </c>
      <c r="H28" s="37"/>
      <c r="I28" s="29"/>
      <c r="K28" s="31">
        <v>25.0</v>
      </c>
      <c r="L28" s="37"/>
      <c r="M28" s="37"/>
      <c r="N28" s="37"/>
      <c r="O28" s="42">
        <v>0.0</v>
      </c>
      <c r="P28" s="37"/>
      <c r="Q28" s="46">
        <f t="shared" si="2"/>
        <v>0</v>
      </c>
      <c r="R28" s="37"/>
      <c r="S28" s="29"/>
    </row>
    <row r="29">
      <c r="A29" s="31">
        <v>26.0</v>
      </c>
      <c r="B29" s="37"/>
      <c r="C29" s="37"/>
      <c r="D29" s="37"/>
      <c r="E29" s="42">
        <v>0.0</v>
      </c>
      <c r="F29" s="37"/>
      <c r="G29" s="46">
        <f t="shared" si="3"/>
        <v>0</v>
      </c>
      <c r="H29" s="37"/>
      <c r="I29" s="29"/>
      <c r="K29" s="31">
        <v>26.0</v>
      </c>
      <c r="L29" s="37"/>
      <c r="M29" s="37"/>
      <c r="N29" s="37"/>
      <c r="O29" s="42">
        <v>0.0</v>
      </c>
      <c r="P29" s="37"/>
      <c r="Q29" s="46">
        <f t="shared" si="2"/>
        <v>0</v>
      </c>
      <c r="R29" s="37"/>
      <c r="S29" s="29"/>
    </row>
    <row r="30">
      <c r="A30" s="31">
        <v>27.0</v>
      </c>
      <c r="B30" s="37"/>
      <c r="C30" s="37"/>
      <c r="D30" s="37"/>
      <c r="E30" s="42">
        <v>0.0</v>
      </c>
      <c r="F30" s="37"/>
      <c r="G30" s="46">
        <f t="shared" si="3"/>
        <v>0</v>
      </c>
      <c r="H30" s="37"/>
      <c r="I30" s="29"/>
      <c r="K30" s="31">
        <v>27.0</v>
      </c>
      <c r="L30" s="37"/>
      <c r="M30" s="37"/>
      <c r="N30" s="37"/>
      <c r="O30" s="42">
        <v>0.0</v>
      </c>
      <c r="P30" s="37"/>
      <c r="Q30" s="46">
        <f t="shared" si="2"/>
        <v>0</v>
      </c>
      <c r="R30" s="37"/>
      <c r="S30" s="29"/>
    </row>
    <row r="31">
      <c r="A31" s="31">
        <v>28.0</v>
      </c>
      <c r="B31" s="37"/>
      <c r="C31" s="37"/>
      <c r="D31" s="37"/>
      <c r="E31" s="42">
        <v>0.0</v>
      </c>
      <c r="F31" s="37"/>
      <c r="G31" s="46">
        <f t="shared" si="3"/>
        <v>0</v>
      </c>
      <c r="H31" s="37"/>
      <c r="I31" s="29"/>
      <c r="K31" s="31">
        <v>28.0</v>
      </c>
      <c r="L31" s="37"/>
      <c r="M31" s="37"/>
      <c r="N31" s="37"/>
      <c r="O31" s="42">
        <v>0.0</v>
      </c>
      <c r="P31" s="37"/>
      <c r="Q31" s="46">
        <f t="shared" si="2"/>
        <v>0</v>
      </c>
      <c r="R31" s="37"/>
      <c r="S31" s="29"/>
    </row>
    <row r="32">
      <c r="A32" s="31">
        <v>29.0</v>
      </c>
      <c r="B32" s="37"/>
      <c r="C32" s="37"/>
      <c r="D32" s="37"/>
      <c r="E32" s="42">
        <v>0.0</v>
      </c>
      <c r="F32" s="37"/>
      <c r="G32" s="46">
        <f t="shared" si="3"/>
        <v>0</v>
      </c>
      <c r="H32" s="37"/>
      <c r="I32" s="29"/>
      <c r="K32" s="31">
        <v>29.0</v>
      </c>
      <c r="L32" s="37"/>
      <c r="M32" s="37"/>
      <c r="N32" s="37"/>
      <c r="O32" s="42">
        <v>0.0</v>
      </c>
      <c r="P32" s="37"/>
      <c r="Q32" s="46">
        <f t="shared" si="2"/>
        <v>0</v>
      </c>
      <c r="R32" s="37"/>
      <c r="S32" s="29"/>
    </row>
    <row r="33">
      <c r="A33" s="31">
        <v>30.0</v>
      </c>
      <c r="B33" s="37"/>
      <c r="C33" s="37"/>
      <c r="D33" s="37"/>
      <c r="E33" s="42">
        <v>0.0</v>
      </c>
      <c r="F33" s="37"/>
      <c r="G33" s="46">
        <f t="shared" si="3"/>
        <v>0</v>
      </c>
      <c r="H33" s="37"/>
      <c r="I33" s="29"/>
      <c r="K33" s="31">
        <v>30.0</v>
      </c>
      <c r="L33" s="37"/>
      <c r="M33" s="37"/>
      <c r="N33" s="37"/>
      <c r="O33" s="42">
        <v>0.0</v>
      </c>
      <c r="P33" s="37"/>
      <c r="Q33" s="46">
        <f t="shared" si="2"/>
        <v>0</v>
      </c>
      <c r="R33" s="37"/>
      <c r="S33" s="29"/>
    </row>
    <row r="34">
      <c r="A34" s="31">
        <v>31.0</v>
      </c>
      <c r="B34" s="37"/>
      <c r="C34" s="37"/>
      <c r="D34" s="37"/>
      <c r="E34" s="42">
        <v>0.0</v>
      </c>
      <c r="F34" s="37"/>
      <c r="G34" s="46">
        <f t="shared" si="3"/>
        <v>0</v>
      </c>
      <c r="H34" s="37"/>
      <c r="I34" s="29"/>
      <c r="K34" s="31">
        <v>31.0</v>
      </c>
      <c r="L34" s="37"/>
      <c r="M34" s="37"/>
      <c r="N34" s="37"/>
      <c r="O34" s="42">
        <v>0.0</v>
      </c>
      <c r="P34" s="37"/>
      <c r="Q34" s="46">
        <f t="shared" si="2"/>
        <v>0</v>
      </c>
      <c r="R34" s="37"/>
      <c r="S34" s="29"/>
    </row>
    <row r="35">
      <c r="A35" s="31">
        <v>32.0</v>
      </c>
      <c r="B35" s="37"/>
      <c r="C35" s="37"/>
      <c r="D35" s="37"/>
      <c r="E35" s="42">
        <v>0.0</v>
      </c>
      <c r="F35" s="37"/>
      <c r="G35" s="46">
        <f t="shared" si="3"/>
        <v>0</v>
      </c>
      <c r="H35" s="37"/>
      <c r="I35" s="29"/>
      <c r="K35" s="31">
        <v>32.0</v>
      </c>
      <c r="L35" s="37"/>
      <c r="M35" s="37"/>
      <c r="N35" s="37"/>
      <c r="O35" s="42">
        <v>0.0</v>
      </c>
      <c r="P35" s="37"/>
      <c r="Q35" s="46">
        <f t="shared" si="2"/>
        <v>0</v>
      </c>
      <c r="R35" s="37"/>
      <c r="S35" s="29"/>
    </row>
    <row r="36">
      <c r="A36" s="31">
        <v>33.0</v>
      </c>
      <c r="B36" s="37"/>
      <c r="C36" s="37"/>
      <c r="D36" s="37"/>
      <c r="E36" s="42">
        <v>0.0</v>
      </c>
      <c r="F36" s="37"/>
      <c r="G36" s="46">
        <f t="shared" si="3"/>
        <v>0</v>
      </c>
      <c r="H36" s="37"/>
      <c r="I36" s="29"/>
      <c r="K36" s="31">
        <v>33.0</v>
      </c>
      <c r="L36" s="37"/>
      <c r="M36" s="37"/>
      <c r="N36" s="37"/>
      <c r="O36" s="42">
        <v>0.0</v>
      </c>
      <c r="P36" s="37"/>
      <c r="Q36" s="46">
        <f t="shared" si="2"/>
        <v>0</v>
      </c>
      <c r="R36" s="37"/>
      <c r="S36" s="29"/>
    </row>
    <row r="37">
      <c r="A37" s="31">
        <v>34.0</v>
      </c>
      <c r="B37" s="37"/>
      <c r="C37" s="37"/>
      <c r="D37" s="37"/>
      <c r="E37" s="42">
        <v>0.0</v>
      </c>
      <c r="F37" s="37"/>
      <c r="G37" s="46">
        <f t="shared" si="3"/>
        <v>0</v>
      </c>
      <c r="H37" s="37"/>
      <c r="I37" s="29"/>
      <c r="K37" s="31">
        <v>34.0</v>
      </c>
      <c r="L37" s="37"/>
      <c r="M37" s="37"/>
      <c r="N37" s="37"/>
      <c r="O37" s="42">
        <v>0.0</v>
      </c>
      <c r="P37" s="37"/>
      <c r="Q37" s="46">
        <f t="shared" si="2"/>
        <v>0</v>
      </c>
      <c r="R37" s="37"/>
      <c r="S37" s="29"/>
    </row>
    <row r="38">
      <c r="A38" s="31">
        <v>35.0</v>
      </c>
      <c r="B38" s="37"/>
      <c r="C38" s="37"/>
      <c r="D38" s="37"/>
      <c r="E38" s="42">
        <v>0.0</v>
      </c>
      <c r="F38" s="37"/>
      <c r="G38" s="46">
        <f t="shared" si="3"/>
        <v>0</v>
      </c>
      <c r="H38" s="37"/>
      <c r="I38" s="29"/>
      <c r="K38" s="31">
        <v>35.0</v>
      </c>
      <c r="L38" s="37"/>
      <c r="M38" s="37"/>
      <c r="N38" s="37"/>
      <c r="O38" s="42">
        <v>0.0</v>
      </c>
      <c r="P38" s="37"/>
      <c r="Q38" s="46">
        <f t="shared" si="2"/>
        <v>0</v>
      </c>
      <c r="R38" s="37"/>
      <c r="S38" s="29"/>
    </row>
    <row r="39">
      <c r="A39" s="31">
        <v>36.0</v>
      </c>
      <c r="B39" s="37"/>
      <c r="C39" s="37"/>
      <c r="D39" s="37"/>
      <c r="E39" s="42">
        <v>0.0</v>
      </c>
      <c r="F39" s="37"/>
      <c r="G39" s="46">
        <f t="shared" si="3"/>
        <v>0</v>
      </c>
      <c r="H39" s="37"/>
      <c r="I39" s="29"/>
      <c r="K39" s="31">
        <v>36.0</v>
      </c>
      <c r="L39" s="37"/>
      <c r="M39" s="37"/>
      <c r="N39" s="37"/>
      <c r="O39" s="42">
        <v>0.0</v>
      </c>
      <c r="P39" s="37"/>
      <c r="Q39" s="46">
        <f t="shared" si="2"/>
        <v>0</v>
      </c>
      <c r="R39" s="37"/>
      <c r="S39" s="29"/>
    </row>
    <row r="40">
      <c r="A40" s="31">
        <v>37.0</v>
      </c>
      <c r="B40" s="37"/>
      <c r="C40" s="37"/>
      <c r="D40" s="37"/>
      <c r="E40" s="42">
        <v>0.0</v>
      </c>
      <c r="F40" s="37"/>
      <c r="G40" s="46">
        <f t="shared" si="3"/>
        <v>0</v>
      </c>
      <c r="H40" s="37"/>
      <c r="I40" s="29"/>
      <c r="K40" s="31">
        <v>37.0</v>
      </c>
      <c r="L40" s="37"/>
      <c r="M40" s="37"/>
      <c r="N40" s="37"/>
      <c r="O40" s="42">
        <v>0.0</v>
      </c>
      <c r="P40" s="37"/>
      <c r="Q40" s="46">
        <f t="shared" si="2"/>
        <v>0</v>
      </c>
      <c r="R40" s="37"/>
      <c r="S40" s="29"/>
    </row>
    <row r="41">
      <c r="A41" s="31">
        <v>38.0</v>
      </c>
      <c r="B41" s="37"/>
      <c r="C41" s="37"/>
      <c r="D41" s="37"/>
      <c r="E41" s="42">
        <v>0.0</v>
      </c>
      <c r="F41" s="37"/>
      <c r="G41" s="46">
        <f t="shared" si="3"/>
        <v>0</v>
      </c>
      <c r="H41" s="37"/>
      <c r="I41" s="29"/>
      <c r="K41" s="31">
        <v>38.0</v>
      </c>
      <c r="L41" s="37"/>
      <c r="M41" s="37"/>
      <c r="N41" s="37"/>
      <c r="O41" s="42">
        <v>0.0</v>
      </c>
      <c r="P41" s="37"/>
      <c r="Q41" s="46">
        <f t="shared" si="2"/>
        <v>0</v>
      </c>
      <c r="R41" s="37"/>
      <c r="S41" s="29"/>
    </row>
    <row r="42">
      <c r="A42" s="1" t="s">
        <v>28</v>
      </c>
      <c r="B42" s="40">
        <f>countif(B3:B41,"*")</f>
        <v>1</v>
      </c>
      <c r="C42" s="37"/>
      <c r="D42" s="37"/>
      <c r="E42" s="42">
        <v>0.0</v>
      </c>
      <c r="F42" s="37"/>
      <c r="G42" s="37"/>
      <c r="H42" s="37"/>
      <c r="I42" s="37"/>
      <c r="K42" s="1" t="s">
        <v>28</v>
      </c>
      <c r="L42" s="40">
        <f>countif(L3:L41,"*")</f>
        <v>0</v>
      </c>
      <c r="M42" s="37"/>
      <c r="N42" s="37"/>
      <c r="O42" s="42">
        <v>0.0</v>
      </c>
      <c r="P42" s="37"/>
      <c r="Q42" s="37"/>
      <c r="R42" s="37"/>
      <c r="S42" s="37"/>
    </row>
  </sheetData>
  <mergeCells count="14">
    <mergeCell ref="D2:D3"/>
    <mergeCell ref="E2:H2"/>
    <mergeCell ref="K2:K3"/>
    <mergeCell ref="L2:L3"/>
    <mergeCell ref="M2:M3"/>
    <mergeCell ref="N2:N3"/>
    <mergeCell ref="A1:H1"/>
    <mergeCell ref="I1:I2"/>
    <mergeCell ref="K1:R1"/>
    <mergeCell ref="S1:S2"/>
    <mergeCell ref="A2:A3"/>
    <mergeCell ref="B2:B3"/>
    <mergeCell ref="C2:C3"/>
    <mergeCell ref="O2:R2"/>
  </mergeCells>
  <dataValidations>
    <dataValidation type="list" allowBlank="1" sqref="D4:D41 N4:N41">
      <formula1>Data!$A$2:$A$12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4" max="4" width="7.38"/>
    <col customWidth="1" min="5" max="5" width="10.13"/>
    <col customWidth="1" min="6" max="7" width="7.38"/>
  </cols>
  <sheetData>
    <row r="1">
      <c r="A1" s="159" t="s">
        <v>251</v>
      </c>
      <c r="B1" s="5"/>
      <c r="C1" s="5"/>
      <c r="D1" s="5"/>
      <c r="E1" s="5"/>
      <c r="F1" s="5"/>
      <c r="G1" s="5"/>
      <c r="H1" s="6"/>
      <c r="I1" s="8" t="s">
        <v>17</v>
      </c>
    </row>
    <row r="2">
      <c r="A2" s="25"/>
      <c r="B2" s="18" t="s">
        <v>252</v>
      </c>
      <c r="C2" s="5"/>
      <c r="D2" s="160" t="s">
        <v>253</v>
      </c>
      <c r="E2" s="6"/>
      <c r="F2" s="160" t="s">
        <v>254</v>
      </c>
      <c r="G2" s="5"/>
      <c r="H2" s="6"/>
      <c r="I2" s="138"/>
    </row>
    <row r="3">
      <c r="A3" s="14" t="s">
        <v>21</v>
      </c>
      <c r="B3" s="14" t="s">
        <v>22</v>
      </c>
      <c r="C3" s="14" t="s">
        <v>24</v>
      </c>
      <c r="D3" s="14" t="s">
        <v>0</v>
      </c>
      <c r="E3" s="18" t="s">
        <v>26</v>
      </c>
      <c r="F3" s="5"/>
      <c r="G3" s="5"/>
      <c r="H3" s="6"/>
      <c r="I3" s="15"/>
    </row>
    <row r="4">
      <c r="A4" s="15"/>
      <c r="B4" s="15"/>
      <c r="C4" s="15"/>
      <c r="D4" s="15"/>
      <c r="E4" s="25" t="s">
        <v>34</v>
      </c>
      <c r="F4" s="25" t="s">
        <v>35</v>
      </c>
      <c r="G4" s="25" t="s">
        <v>36</v>
      </c>
      <c r="H4" s="25" t="s">
        <v>37</v>
      </c>
      <c r="I4" s="29"/>
    </row>
    <row r="5">
      <c r="A5" s="31">
        <v>1.0</v>
      </c>
      <c r="B5" s="1" t="s">
        <v>255</v>
      </c>
      <c r="C5" s="1" t="s">
        <v>256</v>
      </c>
      <c r="D5" s="1" t="s">
        <v>10</v>
      </c>
      <c r="E5" s="42">
        <v>1200.0</v>
      </c>
      <c r="F5" s="1">
        <v>1200.0</v>
      </c>
      <c r="G5" s="46">
        <f t="shared" ref="G5:G42" si="1">E5-F5</f>
        <v>0</v>
      </c>
      <c r="H5" s="1"/>
      <c r="I5" s="29"/>
    </row>
    <row r="6">
      <c r="A6" s="31">
        <v>2.0</v>
      </c>
      <c r="B6" s="1"/>
      <c r="C6" s="37"/>
      <c r="D6" s="1"/>
      <c r="E6" s="42"/>
      <c r="F6" s="37"/>
      <c r="G6" s="46">
        <f t="shared" si="1"/>
        <v>0</v>
      </c>
      <c r="H6" s="1"/>
      <c r="I6" s="29"/>
    </row>
    <row r="7">
      <c r="A7" s="31">
        <v>3.0</v>
      </c>
      <c r="B7" s="1"/>
      <c r="C7" s="37"/>
      <c r="D7" s="1"/>
      <c r="E7" s="42"/>
      <c r="F7" s="1"/>
      <c r="G7" s="46">
        <f t="shared" si="1"/>
        <v>0</v>
      </c>
      <c r="H7" s="1"/>
      <c r="I7" s="29"/>
    </row>
    <row r="8">
      <c r="A8" s="31">
        <v>4.0</v>
      </c>
      <c r="B8" s="1"/>
      <c r="C8" s="37"/>
      <c r="D8" s="1"/>
      <c r="E8" s="42"/>
      <c r="F8" s="1"/>
      <c r="G8" s="46">
        <f t="shared" si="1"/>
        <v>0</v>
      </c>
      <c r="H8" s="1"/>
      <c r="I8" s="29"/>
    </row>
    <row r="9">
      <c r="A9" s="31">
        <v>5.0</v>
      </c>
      <c r="B9" s="1"/>
      <c r="C9" s="37"/>
      <c r="D9" s="1"/>
      <c r="E9" s="42"/>
      <c r="F9" s="37"/>
      <c r="G9" s="46">
        <f t="shared" si="1"/>
        <v>0</v>
      </c>
      <c r="H9" s="1"/>
      <c r="I9" s="29"/>
    </row>
    <row r="10">
      <c r="A10" s="31">
        <v>6.0</v>
      </c>
      <c r="B10" s="1"/>
      <c r="C10" s="37"/>
      <c r="D10" s="1"/>
      <c r="E10" s="42"/>
      <c r="F10" s="1"/>
      <c r="G10" s="46">
        <f t="shared" si="1"/>
        <v>0</v>
      </c>
      <c r="H10" s="1"/>
      <c r="I10" s="29"/>
    </row>
    <row r="11">
      <c r="A11" s="31">
        <v>7.0</v>
      </c>
      <c r="B11" s="1"/>
      <c r="C11" s="37"/>
      <c r="D11" s="1"/>
      <c r="E11" s="42"/>
      <c r="F11" s="37"/>
      <c r="G11" s="46">
        <f t="shared" si="1"/>
        <v>0</v>
      </c>
      <c r="H11" s="1"/>
      <c r="I11" s="29"/>
    </row>
    <row r="12">
      <c r="A12" s="31">
        <v>8.0</v>
      </c>
      <c r="B12" s="1"/>
      <c r="C12" s="37"/>
      <c r="D12" s="1"/>
      <c r="E12" s="42"/>
      <c r="F12" s="1"/>
      <c r="G12" s="46">
        <f t="shared" si="1"/>
        <v>0</v>
      </c>
      <c r="H12" s="1"/>
      <c r="I12" s="29"/>
    </row>
    <row r="13">
      <c r="A13" s="31">
        <v>9.0</v>
      </c>
      <c r="B13" s="1"/>
      <c r="C13" s="37"/>
      <c r="D13" s="1"/>
      <c r="E13" s="42"/>
      <c r="F13" s="37"/>
      <c r="G13" s="46">
        <f t="shared" si="1"/>
        <v>0</v>
      </c>
      <c r="H13" s="37"/>
      <c r="I13" s="29"/>
    </row>
    <row r="14">
      <c r="A14" s="31">
        <v>10.0</v>
      </c>
      <c r="B14" s="37"/>
      <c r="C14" s="37"/>
      <c r="D14" s="37"/>
      <c r="E14" s="42"/>
      <c r="F14" s="37"/>
      <c r="G14" s="46">
        <f t="shared" si="1"/>
        <v>0</v>
      </c>
      <c r="H14" s="37"/>
      <c r="I14" s="29"/>
    </row>
    <row r="15">
      <c r="A15" s="31">
        <v>11.0</v>
      </c>
      <c r="B15" s="37"/>
      <c r="C15" s="37"/>
      <c r="D15" s="37"/>
      <c r="E15" s="42"/>
      <c r="F15" s="37"/>
      <c r="G15" s="46">
        <f t="shared" si="1"/>
        <v>0</v>
      </c>
      <c r="H15" s="37"/>
      <c r="I15" s="29"/>
    </row>
    <row r="16">
      <c r="A16" s="31">
        <v>12.0</v>
      </c>
      <c r="B16" s="37"/>
      <c r="C16" s="37"/>
      <c r="D16" s="37"/>
      <c r="E16" s="42"/>
      <c r="F16" s="37"/>
      <c r="G16" s="46">
        <f t="shared" si="1"/>
        <v>0</v>
      </c>
      <c r="H16" s="37"/>
      <c r="I16" s="29"/>
    </row>
    <row r="17">
      <c r="A17" s="31">
        <v>13.0</v>
      </c>
      <c r="B17" s="37"/>
      <c r="C17" s="37"/>
      <c r="D17" s="37"/>
      <c r="E17" s="42"/>
      <c r="F17" s="37"/>
      <c r="G17" s="46">
        <f t="shared" si="1"/>
        <v>0</v>
      </c>
      <c r="H17" s="37"/>
      <c r="I17" s="29"/>
    </row>
    <row r="18">
      <c r="A18" s="31">
        <v>14.0</v>
      </c>
      <c r="B18" s="37"/>
      <c r="C18" s="37"/>
      <c r="D18" s="37"/>
      <c r="E18" s="42"/>
      <c r="F18" s="37"/>
      <c r="G18" s="46">
        <f t="shared" si="1"/>
        <v>0</v>
      </c>
      <c r="H18" s="37"/>
      <c r="I18" s="29"/>
    </row>
    <row r="19">
      <c r="A19" s="31">
        <v>15.0</v>
      </c>
      <c r="B19" s="37"/>
      <c r="C19" s="37"/>
      <c r="D19" s="37"/>
      <c r="E19" s="42"/>
      <c r="F19" s="37"/>
      <c r="G19" s="46">
        <f t="shared" si="1"/>
        <v>0</v>
      </c>
      <c r="H19" s="37"/>
      <c r="I19" s="29"/>
    </row>
    <row r="20">
      <c r="A20" s="31">
        <v>16.0</v>
      </c>
      <c r="B20" s="37"/>
      <c r="C20" s="37"/>
      <c r="D20" s="37"/>
      <c r="E20" s="42"/>
      <c r="F20" s="37"/>
      <c r="G20" s="46">
        <f t="shared" si="1"/>
        <v>0</v>
      </c>
      <c r="H20" s="37"/>
      <c r="I20" s="29"/>
    </row>
    <row r="21">
      <c r="A21" s="31">
        <v>17.0</v>
      </c>
      <c r="B21" s="37"/>
      <c r="C21" s="37"/>
      <c r="D21" s="37"/>
      <c r="E21" s="42"/>
      <c r="F21" s="37"/>
      <c r="G21" s="46">
        <f t="shared" si="1"/>
        <v>0</v>
      </c>
      <c r="H21" s="37"/>
      <c r="I21" s="29"/>
    </row>
    <row r="22">
      <c r="A22" s="31">
        <v>18.0</v>
      </c>
      <c r="B22" s="37"/>
      <c r="C22" s="37"/>
      <c r="D22" s="37"/>
      <c r="E22" s="42"/>
      <c r="F22" s="37"/>
      <c r="G22" s="46">
        <f t="shared" si="1"/>
        <v>0</v>
      </c>
      <c r="H22" s="37"/>
      <c r="I22" s="29"/>
    </row>
    <row r="23">
      <c r="A23" s="31">
        <v>19.0</v>
      </c>
      <c r="B23" s="37"/>
      <c r="C23" s="37"/>
      <c r="D23" s="37"/>
      <c r="E23" s="42"/>
      <c r="F23" s="37"/>
      <c r="G23" s="46">
        <f t="shared" si="1"/>
        <v>0</v>
      </c>
      <c r="H23" s="37"/>
      <c r="I23" s="29"/>
    </row>
    <row r="24">
      <c r="A24" s="31">
        <v>20.0</v>
      </c>
      <c r="B24" s="37"/>
      <c r="C24" s="37"/>
      <c r="D24" s="37"/>
      <c r="E24" s="42"/>
      <c r="F24" s="37"/>
      <c r="G24" s="46">
        <f t="shared" si="1"/>
        <v>0</v>
      </c>
      <c r="H24" s="37"/>
      <c r="I24" s="29"/>
    </row>
    <row r="25">
      <c r="A25" s="31">
        <v>21.0</v>
      </c>
      <c r="B25" s="37"/>
      <c r="C25" s="37"/>
      <c r="D25" s="37"/>
      <c r="E25" s="42"/>
      <c r="F25" s="37"/>
      <c r="G25" s="46">
        <f t="shared" si="1"/>
        <v>0</v>
      </c>
      <c r="H25" s="37"/>
      <c r="I25" s="29"/>
    </row>
    <row r="26">
      <c r="A26" s="31">
        <v>22.0</v>
      </c>
      <c r="B26" s="37"/>
      <c r="C26" s="37"/>
      <c r="D26" s="37"/>
      <c r="E26" s="42"/>
      <c r="F26" s="37"/>
      <c r="G26" s="46">
        <f t="shared" si="1"/>
        <v>0</v>
      </c>
      <c r="H26" s="37"/>
      <c r="I26" s="29"/>
    </row>
    <row r="27">
      <c r="A27" s="31">
        <v>23.0</v>
      </c>
      <c r="B27" s="37"/>
      <c r="C27" s="37"/>
      <c r="D27" s="37"/>
      <c r="E27" s="42"/>
      <c r="F27" s="37"/>
      <c r="G27" s="46">
        <f t="shared" si="1"/>
        <v>0</v>
      </c>
      <c r="H27" s="37"/>
      <c r="I27" s="29"/>
    </row>
    <row r="28">
      <c r="A28" s="31">
        <v>24.0</v>
      </c>
      <c r="B28" s="37"/>
      <c r="C28" s="37"/>
      <c r="D28" s="37"/>
      <c r="E28" s="42"/>
      <c r="F28" s="37"/>
      <c r="G28" s="46">
        <f t="shared" si="1"/>
        <v>0</v>
      </c>
      <c r="H28" s="37"/>
      <c r="I28" s="29"/>
    </row>
    <row r="29">
      <c r="A29" s="31">
        <v>25.0</v>
      </c>
      <c r="B29" s="37"/>
      <c r="C29" s="37"/>
      <c r="D29" s="37"/>
      <c r="E29" s="42"/>
      <c r="F29" s="37"/>
      <c r="G29" s="46">
        <f t="shared" si="1"/>
        <v>0</v>
      </c>
      <c r="H29" s="37"/>
      <c r="I29" s="29"/>
    </row>
    <row r="30">
      <c r="A30" s="31">
        <v>26.0</v>
      </c>
      <c r="B30" s="37"/>
      <c r="C30" s="37"/>
      <c r="D30" s="37"/>
      <c r="E30" s="42"/>
      <c r="F30" s="37"/>
      <c r="G30" s="46">
        <f t="shared" si="1"/>
        <v>0</v>
      </c>
      <c r="H30" s="37"/>
      <c r="I30" s="29"/>
    </row>
    <row r="31">
      <c r="A31" s="31">
        <v>27.0</v>
      </c>
      <c r="B31" s="37"/>
      <c r="C31" s="37"/>
      <c r="D31" s="37"/>
      <c r="E31" s="42"/>
      <c r="F31" s="37"/>
      <c r="G31" s="46">
        <f t="shared" si="1"/>
        <v>0</v>
      </c>
      <c r="H31" s="37"/>
      <c r="I31" s="29"/>
    </row>
    <row r="32">
      <c r="A32" s="31">
        <v>28.0</v>
      </c>
      <c r="B32" s="37"/>
      <c r="C32" s="37"/>
      <c r="D32" s="37"/>
      <c r="E32" s="42"/>
      <c r="F32" s="37"/>
      <c r="G32" s="46">
        <f t="shared" si="1"/>
        <v>0</v>
      </c>
      <c r="H32" s="37"/>
      <c r="I32" s="29"/>
    </row>
    <row r="33">
      <c r="A33" s="31">
        <v>29.0</v>
      </c>
      <c r="B33" s="37"/>
      <c r="C33" s="37"/>
      <c r="D33" s="37"/>
      <c r="E33" s="42"/>
      <c r="F33" s="37"/>
      <c r="G33" s="46">
        <f t="shared" si="1"/>
        <v>0</v>
      </c>
      <c r="H33" s="37"/>
      <c r="I33" s="29"/>
    </row>
    <row r="34">
      <c r="A34" s="31">
        <v>30.0</v>
      </c>
      <c r="B34" s="37"/>
      <c r="C34" s="37"/>
      <c r="D34" s="37"/>
      <c r="E34" s="42"/>
      <c r="F34" s="37"/>
      <c r="G34" s="46">
        <f t="shared" si="1"/>
        <v>0</v>
      </c>
      <c r="H34" s="37"/>
      <c r="I34" s="29"/>
    </row>
    <row r="35">
      <c r="A35" s="31">
        <v>31.0</v>
      </c>
      <c r="B35" s="37"/>
      <c r="C35" s="37"/>
      <c r="D35" s="37"/>
      <c r="E35" s="42"/>
      <c r="F35" s="37"/>
      <c r="G35" s="46">
        <f t="shared" si="1"/>
        <v>0</v>
      </c>
      <c r="H35" s="37"/>
      <c r="I35" s="29"/>
    </row>
    <row r="36">
      <c r="A36" s="31">
        <v>32.0</v>
      </c>
      <c r="B36" s="37"/>
      <c r="C36" s="37"/>
      <c r="D36" s="37"/>
      <c r="E36" s="42"/>
      <c r="F36" s="37"/>
      <c r="G36" s="46">
        <f t="shared" si="1"/>
        <v>0</v>
      </c>
      <c r="H36" s="37"/>
      <c r="I36" s="29"/>
    </row>
    <row r="37">
      <c r="A37" s="31">
        <v>33.0</v>
      </c>
      <c r="B37" s="37"/>
      <c r="C37" s="37"/>
      <c r="D37" s="37"/>
      <c r="E37" s="42"/>
      <c r="F37" s="37"/>
      <c r="G37" s="46">
        <f t="shared" si="1"/>
        <v>0</v>
      </c>
      <c r="H37" s="37"/>
      <c r="I37" s="29"/>
    </row>
    <row r="38">
      <c r="A38" s="31">
        <v>34.0</v>
      </c>
      <c r="B38" s="37"/>
      <c r="C38" s="37"/>
      <c r="D38" s="37"/>
      <c r="E38" s="42"/>
      <c r="F38" s="37"/>
      <c r="G38" s="46">
        <f t="shared" si="1"/>
        <v>0</v>
      </c>
      <c r="H38" s="37"/>
      <c r="I38" s="29"/>
    </row>
    <row r="39">
      <c r="A39" s="31">
        <v>35.0</v>
      </c>
      <c r="B39" s="37"/>
      <c r="C39" s="37"/>
      <c r="D39" s="37"/>
      <c r="E39" s="42"/>
      <c r="F39" s="37"/>
      <c r="G39" s="46">
        <f t="shared" si="1"/>
        <v>0</v>
      </c>
      <c r="H39" s="37"/>
      <c r="I39" s="29"/>
    </row>
    <row r="40">
      <c r="A40" s="31">
        <v>36.0</v>
      </c>
      <c r="B40" s="37"/>
      <c r="C40" s="37"/>
      <c r="D40" s="37"/>
      <c r="E40" s="42"/>
      <c r="F40" s="37"/>
      <c r="G40" s="46">
        <f t="shared" si="1"/>
        <v>0</v>
      </c>
      <c r="H40" s="37"/>
      <c r="I40" s="29"/>
    </row>
    <row r="41">
      <c r="A41" s="31">
        <v>37.0</v>
      </c>
      <c r="B41" s="37"/>
      <c r="C41" s="37"/>
      <c r="D41" s="37"/>
      <c r="E41" s="42"/>
      <c r="F41" s="37"/>
      <c r="G41" s="46">
        <f t="shared" si="1"/>
        <v>0</v>
      </c>
      <c r="H41" s="37"/>
      <c r="I41" s="29"/>
    </row>
    <row r="42">
      <c r="A42" s="31">
        <v>38.0</v>
      </c>
      <c r="B42" s="37"/>
      <c r="C42" s="37"/>
      <c r="D42" s="37"/>
      <c r="E42" s="42"/>
      <c r="F42" s="37"/>
      <c r="G42" s="46">
        <f t="shared" si="1"/>
        <v>0</v>
      </c>
      <c r="H42" s="37"/>
      <c r="I42" s="29"/>
    </row>
    <row r="43">
      <c r="A43" s="1" t="s">
        <v>28</v>
      </c>
      <c r="B43" s="40">
        <f>countif(B4:B42,"*")</f>
        <v>1</v>
      </c>
      <c r="C43" s="37"/>
      <c r="D43" s="37"/>
      <c r="E43" s="37"/>
      <c r="F43" s="37"/>
      <c r="G43" s="37"/>
      <c r="H43" s="37"/>
      <c r="I43" s="37"/>
    </row>
  </sheetData>
  <mergeCells count="10">
    <mergeCell ref="C3:C4"/>
    <mergeCell ref="D3:D4"/>
    <mergeCell ref="A1:H1"/>
    <mergeCell ref="I1:I3"/>
    <mergeCell ref="B2:C2"/>
    <mergeCell ref="D2:E2"/>
    <mergeCell ref="F2:H2"/>
    <mergeCell ref="A3:A4"/>
    <mergeCell ref="B3:B4"/>
    <mergeCell ref="E3:H3"/>
  </mergeCells>
  <dataValidations>
    <dataValidation type="list" allowBlank="1" sqref="D5:D42">
      <formula1>Data!$A$2:$A$12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4" max="4" width="7.38"/>
    <col customWidth="1" min="5" max="5" width="10.13"/>
    <col customWidth="1" min="6" max="7" width="7.38"/>
    <col customWidth="1" min="8" max="8" width="14.38"/>
    <col customWidth="1" min="11" max="11" width="4.63"/>
  </cols>
  <sheetData>
    <row r="1">
      <c r="A1" s="3" t="s">
        <v>257</v>
      </c>
      <c r="B1" s="5"/>
      <c r="C1" s="5"/>
      <c r="D1" s="5"/>
      <c r="E1" s="5"/>
      <c r="F1" s="5"/>
      <c r="G1" s="5"/>
      <c r="H1" s="6"/>
      <c r="I1" s="8" t="s">
        <v>17</v>
      </c>
      <c r="K1" s="3" t="s">
        <v>258</v>
      </c>
      <c r="L1" s="5"/>
      <c r="M1" s="5"/>
      <c r="N1" s="5"/>
      <c r="O1" s="5"/>
      <c r="P1" s="5"/>
      <c r="Q1" s="5"/>
      <c r="R1" s="6"/>
      <c r="S1" s="8" t="s">
        <v>17</v>
      </c>
    </row>
    <row r="2">
      <c r="A2" s="25"/>
      <c r="B2" s="18"/>
      <c r="C2" s="5"/>
      <c r="D2" s="160"/>
      <c r="E2" s="6"/>
      <c r="F2" s="160"/>
      <c r="G2" s="5"/>
      <c r="H2" s="6"/>
      <c r="I2" s="138"/>
      <c r="K2" s="25"/>
      <c r="L2" s="18"/>
      <c r="M2" s="5"/>
      <c r="N2" s="160"/>
      <c r="O2" s="6"/>
      <c r="P2" s="160"/>
      <c r="Q2" s="5"/>
      <c r="R2" s="6"/>
      <c r="S2" s="138"/>
    </row>
    <row r="3">
      <c r="A3" s="14" t="s">
        <v>21</v>
      </c>
      <c r="B3" s="14" t="s">
        <v>22</v>
      </c>
      <c r="C3" s="14" t="s">
        <v>24</v>
      </c>
      <c r="D3" s="14" t="s">
        <v>0</v>
      </c>
      <c r="E3" s="18" t="s">
        <v>26</v>
      </c>
      <c r="F3" s="5"/>
      <c r="G3" s="5"/>
      <c r="H3" s="6"/>
      <c r="I3" s="15"/>
      <c r="K3" s="14" t="s">
        <v>21</v>
      </c>
      <c r="L3" s="14" t="s">
        <v>22</v>
      </c>
      <c r="M3" s="14" t="s">
        <v>24</v>
      </c>
      <c r="N3" s="14" t="s">
        <v>0</v>
      </c>
      <c r="O3" s="18" t="s">
        <v>26</v>
      </c>
      <c r="P3" s="5"/>
      <c r="Q3" s="5"/>
      <c r="R3" s="6"/>
      <c r="S3" s="15"/>
    </row>
    <row r="4">
      <c r="A4" s="15"/>
      <c r="B4" s="15"/>
      <c r="C4" s="15"/>
      <c r="D4" s="15"/>
      <c r="E4" s="25" t="s">
        <v>34</v>
      </c>
      <c r="F4" s="25" t="s">
        <v>35</v>
      </c>
      <c r="G4" s="25" t="s">
        <v>36</v>
      </c>
      <c r="H4" s="25" t="s">
        <v>37</v>
      </c>
      <c r="I4" s="29"/>
      <c r="K4" s="15"/>
      <c r="L4" s="15"/>
      <c r="M4" s="15"/>
      <c r="N4" s="15"/>
      <c r="O4" s="25" t="s">
        <v>34</v>
      </c>
      <c r="P4" s="25" t="s">
        <v>35</v>
      </c>
      <c r="Q4" s="25" t="s">
        <v>36</v>
      </c>
      <c r="R4" s="25" t="s">
        <v>37</v>
      </c>
      <c r="S4" s="29"/>
    </row>
    <row r="5">
      <c r="A5" s="31">
        <v>1.0</v>
      </c>
      <c r="B5" s="1"/>
      <c r="C5" s="1"/>
      <c r="D5" s="1"/>
      <c r="E5" s="42"/>
      <c r="F5" s="1"/>
      <c r="G5" s="46">
        <f t="shared" ref="G5:G42" si="1">E5-F5</f>
        <v>0</v>
      </c>
      <c r="H5" s="1"/>
      <c r="I5" s="29"/>
      <c r="K5" s="31">
        <v>1.0</v>
      </c>
      <c r="L5" s="1"/>
      <c r="M5" s="1"/>
      <c r="N5" s="1"/>
      <c r="O5" s="42"/>
      <c r="P5" s="1"/>
      <c r="Q5" s="46">
        <f t="shared" ref="Q5:Q42" si="2">O5-P5</f>
        <v>0</v>
      </c>
      <c r="R5" s="1"/>
      <c r="S5" s="29"/>
    </row>
    <row r="6">
      <c r="A6" s="31">
        <v>2.0</v>
      </c>
      <c r="B6" s="1"/>
      <c r="C6" s="37"/>
      <c r="D6" s="1"/>
      <c r="E6" s="42"/>
      <c r="F6" s="37"/>
      <c r="G6" s="46">
        <f t="shared" si="1"/>
        <v>0</v>
      </c>
      <c r="H6" s="1"/>
      <c r="I6" s="29"/>
      <c r="K6" s="31">
        <v>2.0</v>
      </c>
      <c r="L6" s="1"/>
      <c r="M6" s="37"/>
      <c r="N6" s="1"/>
      <c r="O6" s="42"/>
      <c r="P6" s="37"/>
      <c r="Q6" s="46">
        <f t="shared" si="2"/>
        <v>0</v>
      </c>
      <c r="R6" s="1"/>
      <c r="S6" s="29"/>
    </row>
    <row r="7">
      <c r="A7" s="31">
        <v>3.0</v>
      </c>
      <c r="B7" s="1"/>
      <c r="C7" s="37"/>
      <c r="D7" s="1"/>
      <c r="E7" s="42"/>
      <c r="F7" s="1"/>
      <c r="G7" s="46">
        <f t="shared" si="1"/>
        <v>0</v>
      </c>
      <c r="H7" s="1"/>
      <c r="I7" s="29"/>
      <c r="K7" s="31">
        <v>3.0</v>
      </c>
      <c r="L7" s="1"/>
      <c r="M7" s="37"/>
      <c r="N7" s="1"/>
      <c r="O7" s="42"/>
      <c r="P7" s="1"/>
      <c r="Q7" s="46">
        <f t="shared" si="2"/>
        <v>0</v>
      </c>
      <c r="R7" s="1"/>
      <c r="S7" s="29"/>
    </row>
    <row r="8">
      <c r="A8" s="31">
        <v>4.0</v>
      </c>
      <c r="B8" s="1"/>
      <c r="C8" s="37"/>
      <c r="D8" s="1"/>
      <c r="E8" s="42"/>
      <c r="F8" s="1"/>
      <c r="G8" s="46">
        <f t="shared" si="1"/>
        <v>0</v>
      </c>
      <c r="H8" s="1"/>
      <c r="I8" s="29"/>
      <c r="K8" s="31">
        <v>4.0</v>
      </c>
      <c r="L8" s="1"/>
      <c r="M8" s="37"/>
      <c r="N8" s="1"/>
      <c r="O8" s="42"/>
      <c r="P8" s="1"/>
      <c r="Q8" s="46">
        <f t="shared" si="2"/>
        <v>0</v>
      </c>
      <c r="R8" s="1"/>
      <c r="S8" s="29"/>
    </row>
    <row r="9">
      <c r="A9" s="31">
        <v>5.0</v>
      </c>
      <c r="B9" s="1"/>
      <c r="C9" s="37"/>
      <c r="D9" s="1"/>
      <c r="E9" s="42"/>
      <c r="F9" s="37"/>
      <c r="G9" s="46">
        <f t="shared" si="1"/>
        <v>0</v>
      </c>
      <c r="H9" s="1"/>
      <c r="I9" s="29"/>
      <c r="K9" s="31">
        <v>5.0</v>
      </c>
      <c r="L9" s="1"/>
      <c r="M9" s="37"/>
      <c r="N9" s="1"/>
      <c r="O9" s="42"/>
      <c r="P9" s="37"/>
      <c r="Q9" s="46">
        <f t="shared" si="2"/>
        <v>0</v>
      </c>
      <c r="R9" s="1"/>
      <c r="S9" s="29"/>
    </row>
    <row r="10">
      <c r="A10" s="31">
        <v>6.0</v>
      </c>
      <c r="B10" s="1"/>
      <c r="C10" s="37"/>
      <c r="D10" s="1"/>
      <c r="E10" s="42"/>
      <c r="F10" s="1"/>
      <c r="G10" s="46">
        <f t="shared" si="1"/>
        <v>0</v>
      </c>
      <c r="H10" s="1"/>
      <c r="I10" s="29"/>
      <c r="K10" s="31">
        <v>6.0</v>
      </c>
      <c r="L10" s="1"/>
      <c r="M10" s="37"/>
      <c r="N10" s="1"/>
      <c r="O10" s="42"/>
      <c r="P10" s="1"/>
      <c r="Q10" s="46">
        <f t="shared" si="2"/>
        <v>0</v>
      </c>
      <c r="R10" s="1"/>
      <c r="S10" s="29"/>
    </row>
    <row r="11">
      <c r="A11" s="31">
        <v>7.0</v>
      </c>
      <c r="B11" s="1"/>
      <c r="C11" s="37"/>
      <c r="D11" s="1"/>
      <c r="E11" s="42"/>
      <c r="F11" s="37"/>
      <c r="G11" s="46">
        <f t="shared" si="1"/>
        <v>0</v>
      </c>
      <c r="H11" s="1"/>
      <c r="I11" s="29"/>
      <c r="K11" s="31">
        <v>7.0</v>
      </c>
      <c r="L11" s="1"/>
      <c r="M11" s="37"/>
      <c r="N11" s="1"/>
      <c r="O11" s="42"/>
      <c r="P11" s="37"/>
      <c r="Q11" s="46">
        <f t="shared" si="2"/>
        <v>0</v>
      </c>
      <c r="R11" s="1"/>
      <c r="S11" s="29"/>
    </row>
    <row r="12">
      <c r="A12" s="31">
        <v>8.0</v>
      </c>
      <c r="B12" s="1"/>
      <c r="C12" s="37"/>
      <c r="D12" s="1"/>
      <c r="E12" s="42"/>
      <c r="F12" s="1"/>
      <c r="G12" s="46">
        <f t="shared" si="1"/>
        <v>0</v>
      </c>
      <c r="H12" s="1"/>
      <c r="I12" s="29"/>
      <c r="K12" s="31">
        <v>8.0</v>
      </c>
      <c r="L12" s="1"/>
      <c r="M12" s="37"/>
      <c r="N12" s="1"/>
      <c r="O12" s="42"/>
      <c r="P12" s="1"/>
      <c r="Q12" s="46">
        <f t="shared" si="2"/>
        <v>0</v>
      </c>
      <c r="R12" s="1"/>
      <c r="S12" s="29"/>
    </row>
    <row r="13">
      <c r="A13" s="31">
        <v>9.0</v>
      </c>
      <c r="B13" s="1"/>
      <c r="C13" s="37"/>
      <c r="D13" s="1"/>
      <c r="E13" s="42"/>
      <c r="F13" s="37"/>
      <c r="G13" s="46">
        <f t="shared" si="1"/>
        <v>0</v>
      </c>
      <c r="H13" s="37"/>
      <c r="I13" s="29"/>
      <c r="K13" s="31">
        <v>9.0</v>
      </c>
      <c r="L13" s="1"/>
      <c r="M13" s="37"/>
      <c r="N13" s="1"/>
      <c r="O13" s="42"/>
      <c r="P13" s="37"/>
      <c r="Q13" s="46">
        <f t="shared" si="2"/>
        <v>0</v>
      </c>
      <c r="R13" s="37"/>
      <c r="S13" s="29"/>
    </row>
    <row r="14">
      <c r="A14" s="31">
        <v>10.0</v>
      </c>
      <c r="B14" s="37"/>
      <c r="C14" s="37"/>
      <c r="D14" s="37"/>
      <c r="E14" s="42"/>
      <c r="F14" s="37"/>
      <c r="G14" s="46">
        <f t="shared" si="1"/>
        <v>0</v>
      </c>
      <c r="H14" s="37"/>
      <c r="I14" s="29"/>
      <c r="K14" s="31">
        <v>10.0</v>
      </c>
      <c r="L14" s="37"/>
      <c r="M14" s="37"/>
      <c r="N14" s="37"/>
      <c r="O14" s="42"/>
      <c r="P14" s="37"/>
      <c r="Q14" s="46">
        <f t="shared" si="2"/>
        <v>0</v>
      </c>
      <c r="R14" s="37"/>
      <c r="S14" s="29"/>
    </row>
    <row r="15">
      <c r="A15" s="31">
        <v>11.0</v>
      </c>
      <c r="B15" s="37"/>
      <c r="C15" s="37"/>
      <c r="D15" s="37"/>
      <c r="E15" s="42"/>
      <c r="F15" s="37"/>
      <c r="G15" s="46">
        <f t="shared" si="1"/>
        <v>0</v>
      </c>
      <c r="H15" s="37"/>
      <c r="I15" s="29"/>
      <c r="K15" s="31">
        <v>11.0</v>
      </c>
      <c r="L15" s="37"/>
      <c r="M15" s="37"/>
      <c r="N15" s="37"/>
      <c r="O15" s="42"/>
      <c r="P15" s="37"/>
      <c r="Q15" s="46">
        <f t="shared" si="2"/>
        <v>0</v>
      </c>
      <c r="R15" s="37"/>
      <c r="S15" s="29"/>
    </row>
    <row r="16">
      <c r="A16" s="31">
        <v>12.0</v>
      </c>
      <c r="B16" s="37"/>
      <c r="C16" s="37"/>
      <c r="D16" s="37"/>
      <c r="E16" s="42"/>
      <c r="F16" s="37"/>
      <c r="G16" s="46">
        <f t="shared" si="1"/>
        <v>0</v>
      </c>
      <c r="H16" s="37"/>
      <c r="I16" s="29"/>
      <c r="K16" s="31">
        <v>12.0</v>
      </c>
      <c r="L16" s="37"/>
      <c r="M16" s="37"/>
      <c r="N16" s="37"/>
      <c r="O16" s="42"/>
      <c r="P16" s="37"/>
      <c r="Q16" s="46">
        <f t="shared" si="2"/>
        <v>0</v>
      </c>
      <c r="R16" s="37"/>
      <c r="S16" s="29"/>
    </row>
    <row r="17">
      <c r="A17" s="31">
        <v>13.0</v>
      </c>
      <c r="B17" s="37"/>
      <c r="C17" s="37"/>
      <c r="D17" s="37"/>
      <c r="E17" s="42"/>
      <c r="F17" s="37"/>
      <c r="G17" s="46">
        <f t="shared" si="1"/>
        <v>0</v>
      </c>
      <c r="H17" s="37"/>
      <c r="I17" s="29"/>
      <c r="K17" s="31">
        <v>13.0</v>
      </c>
      <c r="L17" s="37"/>
      <c r="M17" s="37"/>
      <c r="N17" s="37"/>
      <c r="O17" s="42"/>
      <c r="P17" s="37"/>
      <c r="Q17" s="46">
        <f t="shared" si="2"/>
        <v>0</v>
      </c>
      <c r="R17" s="37"/>
      <c r="S17" s="29"/>
    </row>
    <row r="18">
      <c r="A18" s="31">
        <v>14.0</v>
      </c>
      <c r="B18" s="37"/>
      <c r="C18" s="37"/>
      <c r="D18" s="37"/>
      <c r="E18" s="42"/>
      <c r="F18" s="37"/>
      <c r="G18" s="46">
        <f t="shared" si="1"/>
        <v>0</v>
      </c>
      <c r="H18" s="37"/>
      <c r="I18" s="29"/>
      <c r="K18" s="31">
        <v>14.0</v>
      </c>
      <c r="L18" s="37"/>
      <c r="M18" s="37"/>
      <c r="N18" s="37"/>
      <c r="O18" s="42"/>
      <c r="P18" s="37"/>
      <c r="Q18" s="46">
        <f t="shared" si="2"/>
        <v>0</v>
      </c>
      <c r="R18" s="37"/>
      <c r="S18" s="29"/>
    </row>
    <row r="19">
      <c r="A19" s="31">
        <v>15.0</v>
      </c>
      <c r="B19" s="37"/>
      <c r="C19" s="37"/>
      <c r="D19" s="37"/>
      <c r="E19" s="42"/>
      <c r="F19" s="37"/>
      <c r="G19" s="46">
        <f t="shared" si="1"/>
        <v>0</v>
      </c>
      <c r="H19" s="37"/>
      <c r="I19" s="29"/>
      <c r="K19" s="31">
        <v>15.0</v>
      </c>
      <c r="L19" s="37"/>
      <c r="M19" s="37"/>
      <c r="N19" s="37"/>
      <c r="O19" s="42"/>
      <c r="P19" s="37"/>
      <c r="Q19" s="46">
        <f t="shared" si="2"/>
        <v>0</v>
      </c>
      <c r="R19" s="37"/>
      <c r="S19" s="29"/>
    </row>
    <row r="20">
      <c r="A20" s="31">
        <v>16.0</v>
      </c>
      <c r="B20" s="37"/>
      <c r="C20" s="37"/>
      <c r="D20" s="37"/>
      <c r="E20" s="42"/>
      <c r="F20" s="37"/>
      <c r="G20" s="46">
        <f t="shared" si="1"/>
        <v>0</v>
      </c>
      <c r="H20" s="37"/>
      <c r="I20" s="29"/>
      <c r="K20" s="31">
        <v>16.0</v>
      </c>
      <c r="L20" s="37"/>
      <c r="M20" s="37"/>
      <c r="N20" s="37"/>
      <c r="O20" s="42"/>
      <c r="P20" s="37"/>
      <c r="Q20" s="46">
        <f t="shared" si="2"/>
        <v>0</v>
      </c>
      <c r="R20" s="37"/>
      <c r="S20" s="29"/>
    </row>
    <row r="21">
      <c r="A21" s="31">
        <v>17.0</v>
      </c>
      <c r="B21" s="37"/>
      <c r="C21" s="37"/>
      <c r="D21" s="37"/>
      <c r="E21" s="42"/>
      <c r="F21" s="37"/>
      <c r="G21" s="46">
        <f t="shared" si="1"/>
        <v>0</v>
      </c>
      <c r="H21" s="37"/>
      <c r="I21" s="29"/>
      <c r="K21" s="31">
        <v>17.0</v>
      </c>
      <c r="L21" s="37"/>
      <c r="M21" s="37"/>
      <c r="N21" s="37"/>
      <c r="O21" s="42"/>
      <c r="P21" s="37"/>
      <c r="Q21" s="46">
        <f t="shared" si="2"/>
        <v>0</v>
      </c>
      <c r="R21" s="37"/>
      <c r="S21" s="29"/>
    </row>
    <row r="22">
      <c r="A22" s="31">
        <v>18.0</v>
      </c>
      <c r="B22" s="37"/>
      <c r="C22" s="37"/>
      <c r="D22" s="37"/>
      <c r="E22" s="42"/>
      <c r="F22" s="37"/>
      <c r="G22" s="46">
        <f t="shared" si="1"/>
        <v>0</v>
      </c>
      <c r="H22" s="37"/>
      <c r="I22" s="29"/>
      <c r="K22" s="31">
        <v>18.0</v>
      </c>
      <c r="L22" s="37"/>
      <c r="M22" s="37"/>
      <c r="N22" s="37"/>
      <c r="O22" s="42"/>
      <c r="P22" s="37"/>
      <c r="Q22" s="46">
        <f t="shared" si="2"/>
        <v>0</v>
      </c>
      <c r="R22" s="37"/>
      <c r="S22" s="29"/>
    </row>
    <row r="23">
      <c r="A23" s="31">
        <v>19.0</v>
      </c>
      <c r="B23" s="37"/>
      <c r="C23" s="37"/>
      <c r="D23" s="37"/>
      <c r="E23" s="42"/>
      <c r="F23" s="37"/>
      <c r="G23" s="46">
        <f t="shared" si="1"/>
        <v>0</v>
      </c>
      <c r="H23" s="37"/>
      <c r="I23" s="29"/>
      <c r="K23" s="31">
        <v>19.0</v>
      </c>
      <c r="L23" s="37"/>
      <c r="M23" s="37"/>
      <c r="N23" s="37"/>
      <c r="O23" s="42"/>
      <c r="P23" s="37"/>
      <c r="Q23" s="46">
        <f t="shared" si="2"/>
        <v>0</v>
      </c>
      <c r="R23" s="37"/>
      <c r="S23" s="29"/>
    </row>
    <row r="24">
      <c r="A24" s="31">
        <v>20.0</v>
      </c>
      <c r="B24" s="37"/>
      <c r="C24" s="37"/>
      <c r="D24" s="37"/>
      <c r="E24" s="42"/>
      <c r="F24" s="37"/>
      <c r="G24" s="46">
        <f t="shared" si="1"/>
        <v>0</v>
      </c>
      <c r="H24" s="37"/>
      <c r="I24" s="29"/>
      <c r="K24" s="31">
        <v>20.0</v>
      </c>
      <c r="L24" s="37"/>
      <c r="M24" s="37"/>
      <c r="N24" s="37"/>
      <c r="O24" s="42"/>
      <c r="P24" s="37"/>
      <c r="Q24" s="46">
        <f t="shared" si="2"/>
        <v>0</v>
      </c>
      <c r="R24" s="37"/>
      <c r="S24" s="29"/>
    </row>
    <row r="25">
      <c r="A25" s="31">
        <v>21.0</v>
      </c>
      <c r="B25" s="37"/>
      <c r="C25" s="37"/>
      <c r="D25" s="37"/>
      <c r="E25" s="42"/>
      <c r="F25" s="37"/>
      <c r="G25" s="46">
        <f t="shared" si="1"/>
        <v>0</v>
      </c>
      <c r="H25" s="37"/>
      <c r="I25" s="29"/>
      <c r="K25" s="31">
        <v>21.0</v>
      </c>
      <c r="L25" s="37"/>
      <c r="M25" s="37"/>
      <c r="N25" s="37"/>
      <c r="O25" s="42"/>
      <c r="P25" s="37"/>
      <c r="Q25" s="46">
        <f t="shared" si="2"/>
        <v>0</v>
      </c>
      <c r="R25" s="37"/>
      <c r="S25" s="29"/>
    </row>
    <row r="26">
      <c r="A26" s="31">
        <v>22.0</v>
      </c>
      <c r="B26" s="37"/>
      <c r="C26" s="37"/>
      <c r="D26" s="37"/>
      <c r="E26" s="42"/>
      <c r="F26" s="37"/>
      <c r="G26" s="46">
        <f t="shared" si="1"/>
        <v>0</v>
      </c>
      <c r="H26" s="37"/>
      <c r="I26" s="29"/>
      <c r="K26" s="31">
        <v>22.0</v>
      </c>
      <c r="L26" s="37"/>
      <c r="M26" s="37"/>
      <c r="N26" s="37"/>
      <c r="O26" s="42"/>
      <c r="P26" s="37"/>
      <c r="Q26" s="46">
        <f t="shared" si="2"/>
        <v>0</v>
      </c>
      <c r="R26" s="37"/>
      <c r="S26" s="29"/>
    </row>
    <row r="27">
      <c r="A27" s="31">
        <v>23.0</v>
      </c>
      <c r="B27" s="37"/>
      <c r="C27" s="37"/>
      <c r="D27" s="37"/>
      <c r="E27" s="42"/>
      <c r="F27" s="37"/>
      <c r="G27" s="46">
        <f t="shared" si="1"/>
        <v>0</v>
      </c>
      <c r="H27" s="37"/>
      <c r="I27" s="29"/>
      <c r="K27" s="31">
        <v>23.0</v>
      </c>
      <c r="L27" s="37"/>
      <c r="M27" s="37"/>
      <c r="N27" s="37"/>
      <c r="O27" s="42"/>
      <c r="P27" s="37"/>
      <c r="Q27" s="46">
        <f t="shared" si="2"/>
        <v>0</v>
      </c>
      <c r="R27" s="37"/>
      <c r="S27" s="29"/>
    </row>
    <row r="28">
      <c r="A28" s="31">
        <v>24.0</v>
      </c>
      <c r="B28" s="37"/>
      <c r="C28" s="37"/>
      <c r="D28" s="37"/>
      <c r="E28" s="42"/>
      <c r="F28" s="37"/>
      <c r="G28" s="46">
        <f t="shared" si="1"/>
        <v>0</v>
      </c>
      <c r="H28" s="37"/>
      <c r="I28" s="29"/>
      <c r="K28" s="31">
        <v>24.0</v>
      </c>
      <c r="L28" s="37"/>
      <c r="M28" s="37"/>
      <c r="N28" s="37"/>
      <c r="O28" s="42"/>
      <c r="P28" s="37"/>
      <c r="Q28" s="46">
        <f t="shared" si="2"/>
        <v>0</v>
      </c>
      <c r="R28" s="37"/>
      <c r="S28" s="29"/>
    </row>
    <row r="29">
      <c r="A29" s="31">
        <v>25.0</v>
      </c>
      <c r="B29" s="37"/>
      <c r="C29" s="37"/>
      <c r="D29" s="37"/>
      <c r="E29" s="42"/>
      <c r="F29" s="37"/>
      <c r="G29" s="46">
        <f t="shared" si="1"/>
        <v>0</v>
      </c>
      <c r="H29" s="37"/>
      <c r="I29" s="29"/>
      <c r="K29" s="31">
        <v>25.0</v>
      </c>
      <c r="L29" s="37"/>
      <c r="M29" s="37"/>
      <c r="N29" s="37"/>
      <c r="O29" s="42"/>
      <c r="P29" s="37"/>
      <c r="Q29" s="46">
        <f t="shared" si="2"/>
        <v>0</v>
      </c>
      <c r="R29" s="37"/>
      <c r="S29" s="29"/>
    </row>
    <row r="30">
      <c r="A30" s="31">
        <v>26.0</v>
      </c>
      <c r="B30" s="37"/>
      <c r="C30" s="37"/>
      <c r="D30" s="37"/>
      <c r="E30" s="42"/>
      <c r="F30" s="37"/>
      <c r="G30" s="46">
        <f t="shared" si="1"/>
        <v>0</v>
      </c>
      <c r="H30" s="37"/>
      <c r="I30" s="29"/>
      <c r="K30" s="31">
        <v>26.0</v>
      </c>
      <c r="L30" s="37"/>
      <c r="M30" s="37"/>
      <c r="N30" s="37"/>
      <c r="O30" s="42"/>
      <c r="P30" s="37"/>
      <c r="Q30" s="46">
        <f t="shared" si="2"/>
        <v>0</v>
      </c>
      <c r="R30" s="37"/>
      <c r="S30" s="29"/>
    </row>
    <row r="31">
      <c r="A31" s="31">
        <v>27.0</v>
      </c>
      <c r="B31" s="37"/>
      <c r="C31" s="37"/>
      <c r="D31" s="37"/>
      <c r="E31" s="42"/>
      <c r="F31" s="37"/>
      <c r="G31" s="46">
        <f t="shared" si="1"/>
        <v>0</v>
      </c>
      <c r="H31" s="37"/>
      <c r="I31" s="29"/>
      <c r="K31" s="31">
        <v>27.0</v>
      </c>
      <c r="L31" s="37"/>
      <c r="M31" s="37"/>
      <c r="N31" s="37"/>
      <c r="O31" s="42"/>
      <c r="P31" s="37"/>
      <c r="Q31" s="46">
        <f t="shared" si="2"/>
        <v>0</v>
      </c>
      <c r="R31" s="37"/>
      <c r="S31" s="29"/>
    </row>
    <row r="32">
      <c r="A32" s="31">
        <v>28.0</v>
      </c>
      <c r="B32" s="37"/>
      <c r="C32" s="37"/>
      <c r="D32" s="37"/>
      <c r="E32" s="42"/>
      <c r="F32" s="37"/>
      <c r="G32" s="46">
        <f t="shared" si="1"/>
        <v>0</v>
      </c>
      <c r="H32" s="37"/>
      <c r="I32" s="29"/>
      <c r="K32" s="31">
        <v>28.0</v>
      </c>
      <c r="L32" s="37"/>
      <c r="M32" s="37"/>
      <c r="N32" s="37"/>
      <c r="O32" s="42"/>
      <c r="P32" s="37"/>
      <c r="Q32" s="46">
        <f t="shared" si="2"/>
        <v>0</v>
      </c>
      <c r="R32" s="37"/>
      <c r="S32" s="29"/>
    </row>
    <row r="33">
      <c r="A33" s="31">
        <v>29.0</v>
      </c>
      <c r="B33" s="37"/>
      <c r="C33" s="37"/>
      <c r="D33" s="37"/>
      <c r="E33" s="42"/>
      <c r="F33" s="37"/>
      <c r="G33" s="46">
        <f t="shared" si="1"/>
        <v>0</v>
      </c>
      <c r="H33" s="37"/>
      <c r="I33" s="29"/>
      <c r="K33" s="31">
        <v>29.0</v>
      </c>
      <c r="L33" s="37"/>
      <c r="M33" s="37"/>
      <c r="N33" s="37"/>
      <c r="O33" s="42"/>
      <c r="P33" s="37"/>
      <c r="Q33" s="46">
        <f t="shared" si="2"/>
        <v>0</v>
      </c>
      <c r="R33" s="37"/>
      <c r="S33" s="29"/>
    </row>
    <row r="34">
      <c r="A34" s="31">
        <v>30.0</v>
      </c>
      <c r="B34" s="37"/>
      <c r="C34" s="37"/>
      <c r="D34" s="37"/>
      <c r="E34" s="42"/>
      <c r="F34" s="37"/>
      <c r="G34" s="46">
        <f t="shared" si="1"/>
        <v>0</v>
      </c>
      <c r="H34" s="37"/>
      <c r="I34" s="29"/>
      <c r="K34" s="31">
        <v>30.0</v>
      </c>
      <c r="L34" s="37"/>
      <c r="M34" s="37"/>
      <c r="N34" s="37"/>
      <c r="O34" s="42"/>
      <c r="P34" s="37"/>
      <c r="Q34" s="46">
        <f t="shared" si="2"/>
        <v>0</v>
      </c>
      <c r="R34" s="37"/>
      <c r="S34" s="29"/>
    </row>
    <row r="35">
      <c r="A35" s="31">
        <v>31.0</v>
      </c>
      <c r="B35" s="37"/>
      <c r="C35" s="37"/>
      <c r="D35" s="37"/>
      <c r="E35" s="42"/>
      <c r="F35" s="37"/>
      <c r="G35" s="46">
        <f t="shared" si="1"/>
        <v>0</v>
      </c>
      <c r="H35" s="37"/>
      <c r="I35" s="29"/>
      <c r="K35" s="31">
        <v>31.0</v>
      </c>
      <c r="L35" s="37"/>
      <c r="M35" s="37"/>
      <c r="N35" s="37"/>
      <c r="O35" s="42"/>
      <c r="P35" s="37"/>
      <c r="Q35" s="46">
        <f t="shared" si="2"/>
        <v>0</v>
      </c>
      <c r="R35" s="37"/>
      <c r="S35" s="29"/>
    </row>
    <row r="36">
      <c r="A36" s="31">
        <v>32.0</v>
      </c>
      <c r="B36" s="37"/>
      <c r="C36" s="37"/>
      <c r="D36" s="37"/>
      <c r="E36" s="42"/>
      <c r="F36" s="37"/>
      <c r="G36" s="46">
        <f t="shared" si="1"/>
        <v>0</v>
      </c>
      <c r="H36" s="37"/>
      <c r="I36" s="29"/>
      <c r="K36" s="31">
        <v>32.0</v>
      </c>
      <c r="L36" s="37"/>
      <c r="M36" s="37"/>
      <c r="N36" s="37"/>
      <c r="O36" s="42"/>
      <c r="P36" s="37"/>
      <c r="Q36" s="46">
        <f t="shared" si="2"/>
        <v>0</v>
      </c>
      <c r="R36" s="37"/>
      <c r="S36" s="29"/>
    </row>
    <row r="37">
      <c r="A37" s="31">
        <v>33.0</v>
      </c>
      <c r="B37" s="37"/>
      <c r="C37" s="37"/>
      <c r="D37" s="37"/>
      <c r="E37" s="42"/>
      <c r="F37" s="37"/>
      <c r="G37" s="46">
        <f t="shared" si="1"/>
        <v>0</v>
      </c>
      <c r="H37" s="37"/>
      <c r="I37" s="29"/>
      <c r="K37" s="31">
        <v>33.0</v>
      </c>
      <c r="L37" s="37"/>
      <c r="M37" s="37"/>
      <c r="N37" s="37"/>
      <c r="O37" s="42"/>
      <c r="P37" s="37"/>
      <c r="Q37" s="46">
        <f t="shared" si="2"/>
        <v>0</v>
      </c>
      <c r="R37" s="37"/>
      <c r="S37" s="29"/>
    </row>
    <row r="38">
      <c r="A38" s="31">
        <v>34.0</v>
      </c>
      <c r="B38" s="37"/>
      <c r="C38" s="37"/>
      <c r="D38" s="37"/>
      <c r="E38" s="42"/>
      <c r="F38" s="37"/>
      <c r="G38" s="46">
        <f t="shared" si="1"/>
        <v>0</v>
      </c>
      <c r="H38" s="37"/>
      <c r="I38" s="29"/>
      <c r="K38" s="31">
        <v>34.0</v>
      </c>
      <c r="L38" s="37"/>
      <c r="M38" s="37"/>
      <c r="N38" s="37"/>
      <c r="O38" s="42"/>
      <c r="P38" s="37"/>
      <c r="Q38" s="46">
        <f t="shared" si="2"/>
        <v>0</v>
      </c>
      <c r="R38" s="37"/>
      <c r="S38" s="29"/>
    </row>
    <row r="39">
      <c r="A39" s="31">
        <v>35.0</v>
      </c>
      <c r="B39" s="37"/>
      <c r="C39" s="37"/>
      <c r="D39" s="37"/>
      <c r="E39" s="42"/>
      <c r="F39" s="37"/>
      <c r="G39" s="46">
        <f t="shared" si="1"/>
        <v>0</v>
      </c>
      <c r="H39" s="37"/>
      <c r="I39" s="29"/>
      <c r="K39" s="31">
        <v>35.0</v>
      </c>
      <c r="L39" s="37"/>
      <c r="M39" s="37"/>
      <c r="N39" s="37"/>
      <c r="O39" s="42"/>
      <c r="P39" s="37"/>
      <c r="Q39" s="46">
        <f t="shared" si="2"/>
        <v>0</v>
      </c>
      <c r="R39" s="37"/>
      <c r="S39" s="29"/>
    </row>
    <row r="40">
      <c r="A40" s="31">
        <v>36.0</v>
      </c>
      <c r="B40" s="37"/>
      <c r="C40" s="37"/>
      <c r="D40" s="37"/>
      <c r="E40" s="42"/>
      <c r="F40" s="37"/>
      <c r="G40" s="46">
        <f t="shared" si="1"/>
        <v>0</v>
      </c>
      <c r="H40" s="37"/>
      <c r="I40" s="29"/>
      <c r="K40" s="31">
        <v>36.0</v>
      </c>
      <c r="L40" s="37"/>
      <c r="M40" s="37"/>
      <c r="N40" s="37"/>
      <c r="O40" s="42"/>
      <c r="P40" s="37"/>
      <c r="Q40" s="46">
        <f t="shared" si="2"/>
        <v>0</v>
      </c>
      <c r="R40" s="37"/>
      <c r="S40" s="29"/>
    </row>
    <row r="41">
      <c r="A41" s="31">
        <v>37.0</v>
      </c>
      <c r="B41" s="37"/>
      <c r="C41" s="37"/>
      <c r="D41" s="37"/>
      <c r="E41" s="42"/>
      <c r="F41" s="37"/>
      <c r="G41" s="46">
        <f t="shared" si="1"/>
        <v>0</v>
      </c>
      <c r="H41" s="37"/>
      <c r="I41" s="29"/>
      <c r="K41" s="31">
        <v>37.0</v>
      </c>
      <c r="L41" s="37"/>
      <c r="M41" s="37"/>
      <c r="N41" s="37"/>
      <c r="O41" s="42"/>
      <c r="P41" s="37"/>
      <c r="Q41" s="46">
        <f t="shared" si="2"/>
        <v>0</v>
      </c>
      <c r="R41" s="37"/>
      <c r="S41" s="29"/>
    </row>
    <row r="42">
      <c r="A42" s="31">
        <v>38.0</v>
      </c>
      <c r="B42" s="37"/>
      <c r="C42" s="37"/>
      <c r="D42" s="37"/>
      <c r="E42" s="42"/>
      <c r="F42" s="37"/>
      <c r="G42" s="46">
        <f t="shared" si="1"/>
        <v>0</v>
      </c>
      <c r="H42" s="37"/>
      <c r="I42" s="29"/>
      <c r="K42" s="31">
        <v>38.0</v>
      </c>
      <c r="L42" s="37"/>
      <c r="M42" s="37"/>
      <c r="N42" s="37"/>
      <c r="O42" s="42"/>
      <c r="P42" s="37"/>
      <c r="Q42" s="46">
        <f t="shared" si="2"/>
        <v>0</v>
      </c>
      <c r="R42" s="37"/>
      <c r="S42" s="29"/>
    </row>
    <row r="43">
      <c r="A43" s="1" t="s">
        <v>28</v>
      </c>
      <c r="B43" s="40">
        <f>countif(B4:B42,"*")</f>
        <v>0</v>
      </c>
      <c r="C43" s="37"/>
      <c r="D43" s="37"/>
      <c r="E43" s="37"/>
      <c r="F43" s="37"/>
      <c r="G43" s="37"/>
      <c r="H43" s="37"/>
      <c r="I43" s="37"/>
      <c r="K43" s="1" t="s">
        <v>28</v>
      </c>
      <c r="L43" s="40">
        <f>countif(L4:L42,"*")</f>
        <v>0</v>
      </c>
      <c r="M43" s="37"/>
      <c r="N43" s="37"/>
      <c r="O43" s="37"/>
      <c r="P43" s="37"/>
      <c r="Q43" s="37"/>
      <c r="R43" s="37"/>
      <c r="S43" s="37"/>
    </row>
  </sheetData>
  <mergeCells count="20">
    <mergeCell ref="L2:M2"/>
    <mergeCell ref="N2:O2"/>
    <mergeCell ref="K3:K4"/>
    <mergeCell ref="L3:L4"/>
    <mergeCell ref="M3:M4"/>
    <mergeCell ref="N3:N4"/>
    <mergeCell ref="B2:C2"/>
    <mergeCell ref="A3:A4"/>
    <mergeCell ref="B3:B4"/>
    <mergeCell ref="C3:C4"/>
    <mergeCell ref="D3:D4"/>
    <mergeCell ref="P2:R2"/>
    <mergeCell ref="O3:R3"/>
    <mergeCell ref="A1:H1"/>
    <mergeCell ref="I1:I3"/>
    <mergeCell ref="K1:R1"/>
    <mergeCell ref="S1:S3"/>
    <mergeCell ref="D2:E2"/>
    <mergeCell ref="F2:H2"/>
    <mergeCell ref="E3:H3"/>
  </mergeCells>
  <dataValidations>
    <dataValidation type="list" allowBlank="1" sqref="D5:D42 N5:N42">
      <formula1>Data!$A$2:$A$12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7.63"/>
    <col customWidth="1" min="3" max="3" width="14.5"/>
    <col customWidth="1" min="7" max="7" width="16.25"/>
    <col customWidth="1" min="8" max="8" width="40.13"/>
    <col customWidth="1" min="9" max="9" width="11.38"/>
    <col customWidth="1" min="10" max="10" width="14.13"/>
    <col customWidth="1" min="11" max="11" width="12.0"/>
    <col customWidth="1" min="12" max="12" width="12.13"/>
    <col customWidth="1" min="13" max="25" width="10.38"/>
  </cols>
  <sheetData>
    <row r="1">
      <c r="A1" s="3" t="s">
        <v>259</v>
      </c>
      <c r="B1" s="5"/>
      <c r="C1" s="5"/>
      <c r="D1" s="5"/>
      <c r="E1" s="5"/>
      <c r="F1" s="5"/>
      <c r="G1" s="5"/>
      <c r="H1" s="6"/>
      <c r="I1" s="8" t="s">
        <v>17</v>
      </c>
    </row>
    <row r="2">
      <c r="A2" s="14" t="s">
        <v>21</v>
      </c>
      <c r="B2" s="14" t="s">
        <v>22</v>
      </c>
      <c r="C2" s="14" t="s">
        <v>24</v>
      </c>
      <c r="D2" s="14" t="s">
        <v>0</v>
      </c>
      <c r="E2" s="18" t="s">
        <v>26</v>
      </c>
      <c r="F2" s="5"/>
      <c r="G2" s="5"/>
      <c r="H2" s="6"/>
      <c r="I2" s="15"/>
    </row>
    <row r="3">
      <c r="A3" s="15"/>
      <c r="B3" s="15"/>
      <c r="C3" s="15"/>
      <c r="D3" s="15"/>
      <c r="E3" s="25" t="s">
        <v>34</v>
      </c>
      <c r="F3" s="25" t="s">
        <v>35</v>
      </c>
      <c r="G3" s="25" t="s">
        <v>36</v>
      </c>
      <c r="H3" s="25" t="s">
        <v>37</v>
      </c>
      <c r="I3" s="29"/>
      <c r="J3" s="161" t="s">
        <v>29</v>
      </c>
      <c r="K3" s="161" t="s">
        <v>30</v>
      </c>
      <c r="L3" s="161" t="s">
        <v>31</v>
      </c>
    </row>
    <row r="4">
      <c r="A4" s="31">
        <v>1.0</v>
      </c>
      <c r="B4" s="62" t="s">
        <v>260</v>
      </c>
      <c r="C4" s="162">
        <v>1.002518386E9</v>
      </c>
      <c r="D4" s="1" t="s">
        <v>15</v>
      </c>
      <c r="E4" s="42">
        <v>0.0</v>
      </c>
      <c r="F4" s="1"/>
      <c r="G4" s="46">
        <f t="shared" ref="G4:G19" si="1">E4-F4</f>
        <v>0</v>
      </c>
      <c r="H4" s="1" t="s">
        <v>261</v>
      </c>
      <c r="I4" s="48"/>
      <c r="J4" s="55" t="b">
        <v>1</v>
      </c>
      <c r="K4" s="55" t="b">
        <v>1</v>
      </c>
      <c r="L4" s="55" t="b">
        <v>1</v>
      </c>
    </row>
    <row r="5">
      <c r="A5" s="31">
        <v>2.0</v>
      </c>
      <c r="B5" s="1" t="s">
        <v>262</v>
      </c>
      <c r="C5" s="1">
        <v>1.062504778E9</v>
      </c>
      <c r="D5" s="1" t="s">
        <v>15</v>
      </c>
      <c r="E5" s="42">
        <v>6000.0</v>
      </c>
      <c r="F5" s="1">
        <v>6000.0</v>
      </c>
      <c r="G5" s="46">
        <f t="shared" si="1"/>
        <v>0</v>
      </c>
      <c r="H5" s="1" t="s">
        <v>263</v>
      </c>
      <c r="I5" s="48"/>
      <c r="J5" s="55" t="b">
        <v>1</v>
      </c>
      <c r="K5" s="55" t="b">
        <v>1</v>
      </c>
      <c r="L5" s="55" t="b">
        <v>1</v>
      </c>
    </row>
    <row r="6">
      <c r="A6" s="31">
        <v>3.0</v>
      </c>
      <c r="B6" s="163" t="s">
        <v>264</v>
      </c>
      <c r="C6" s="1">
        <v>1.060707914E9</v>
      </c>
      <c r="D6" s="1" t="s">
        <v>15</v>
      </c>
      <c r="E6" s="42">
        <v>6000.0</v>
      </c>
      <c r="F6" s="1">
        <v>6000.0</v>
      </c>
      <c r="G6" s="46">
        <f t="shared" si="1"/>
        <v>0</v>
      </c>
      <c r="H6" s="62" t="s">
        <v>263</v>
      </c>
      <c r="I6" s="48"/>
      <c r="J6" s="55" t="b">
        <v>1</v>
      </c>
      <c r="K6" s="55" t="b">
        <v>1</v>
      </c>
      <c r="L6" s="55" t="b">
        <v>1</v>
      </c>
    </row>
    <row r="7">
      <c r="A7" s="31">
        <v>4.0</v>
      </c>
      <c r="B7" s="163" t="s">
        <v>212</v>
      </c>
      <c r="C7" s="1">
        <v>1.001409055E9</v>
      </c>
      <c r="D7" s="1" t="s">
        <v>15</v>
      </c>
      <c r="E7" s="42">
        <v>6000.0</v>
      </c>
      <c r="F7" s="1">
        <v>6000.0</v>
      </c>
      <c r="G7" s="46">
        <f t="shared" si="1"/>
        <v>0</v>
      </c>
      <c r="H7" s="1" t="s">
        <v>263</v>
      </c>
      <c r="I7" s="48"/>
      <c r="J7" s="55" t="b">
        <v>1</v>
      </c>
      <c r="K7" s="55" t="b">
        <v>1</v>
      </c>
      <c r="L7" s="55" t="b">
        <v>1</v>
      </c>
    </row>
    <row r="8">
      <c r="A8" s="31">
        <v>5.0</v>
      </c>
      <c r="B8" s="163" t="s">
        <v>266</v>
      </c>
      <c r="C8" s="1">
        <v>1.005699978E9</v>
      </c>
      <c r="D8" s="1" t="s">
        <v>15</v>
      </c>
      <c r="E8" s="42">
        <v>6000.0</v>
      </c>
      <c r="F8" s="1">
        <v>6000.0</v>
      </c>
      <c r="G8" s="46">
        <f t="shared" si="1"/>
        <v>0</v>
      </c>
      <c r="H8" s="62" t="s">
        <v>263</v>
      </c>
      <c r="I8" s="29"/>
      <c r="J8" s="55" t="b">
        <v>1</v>
      </c>
      <c r="K8" s="55" t="b">
        <v>1</v>
      </c>
      <c r="L8" s="55" t="b">
        <v>1</v>
      </c>
    </row>
    <row r="9">
      <c r="A9" s="31">
        <v>6.0</v>
      </c>
      <c r="B9" s="61" t="s">
        <v>268</v>
      </c>
      <c r="C9" s="1">
        <v>1.002872618E9</v>
      </c>
      <c r="D9" s="1" t="s">
        <v>15</v>
      </c>
      <c r="E9" s="42">
        <v>6000.0</v>
      </c>
      <c r="F9" s="1">
        <v>6000.0</v>
      </c>
      <c r="G9" s="46">
        <f t="shared" si="1"/>
        <v>0</v>
      </c>
      <c r="H9" s="62" t="s">
        <v>263</v>
      </c>
      <c r="I9" s="29"/>
      <c r="J9" s="55" t="b">
        <v>1</v>
      </c>
      <c r="K9" s="55" t="b">
        <v>1</v>
      </c>
      <c r="L9" s="55" t="b">
        <v>1</v>
      </c>
    </row>
    <row r="10">
      <c r="A10" s="31">
        <v>7.0</v>
      </c>
      <c r="B10" s="61" t="s">
        <v>269</v>
      </c>
      <c r="C10" s="1">
        <v>1.270190006E9</v>
      </c>
      <c r="D10" s="1" t="s">
        <v>15</v>
      </c>
      <c r="E10" s="42">
        <v>6000.0</v>
      </c>
      <c r="F10" s="1">
        <v>6000.0</v>
      </c>
      <c r="G10" s="46">
        <f t="shared" si="1"/>
        <v>0</v>
      </c>
      <c r="H10" s="62" t="s">
        <v>263</v>
      </c>
      <c r="I10" s="29"/>
      <c r="J10" s="55" t="b">
        <v>1</v>
      </c>
      <c r="K10" s="55" t="b">
        <v>1</v>
      </c>
      <c r="L10" s="55" t="b">
        <v>1</v>
      </c>
    </row>
    <row r="11">
      <c r="A11" s="31">
        <v>8.0</v>
      </c>
      <c r="B11" s="61" t="s">
        <v>134</v>
      </c>
      <c r="C11" s="1">
        <v>1.227447039E9</v>
      </c>
      <c r="D11" s="1" t="s">
        <v>15</v>
      </c>
      <c r="E11" s="42">
        <v>6000.0</v>
      </c>
      <c r="F11" s="1">
        <v>3000.0</v>
      </c>
      <c r="G11" s="46">
        <f t="shared" si="1"/>
        <v>3000</v>
      </c>
      <c r="H11" s="1" t="s">
        <v>270</v>
      </c>
      <c r="I11" s="29"/>
      <c r="J11" s="55" t="b">
        <v>1</v>
      </c>
      <c r="K11" s="55" t="b">
        <v>1</v>
      </c>
      <c r="L11" s="55" t="b">
        <v>1</v>
      </c>
    </row>
    <row r="12">
      <c r="A12" s="31">
        <v>9.0</v>
      </c>
      <c r="B12" s="163" t="s">
        <v>271</v>
      </c>
      <c r="C12" s="1">
        <v>1.008794369E9</v>
      </c>
      <c r="D12" s="1" t="s">
        <v>15</v>
      </c>
      <c r="E12" s="42">
        <v>6000.0</v>
      </c>
      <c r="F12" s="1">
        <v>6000.0</v>
      </c>
      <c r="G12" s="46">
        <f t="shared" si="1"/>
        <v>0</v>
      </c>
      <c r="H12" s="62" t="s">
        <v>263</v>
      </c>
      <c r="I12" s="29"/>
      <c r="J12" s="55" t="b">
        <v>1</v>
      </c>
      <c r="K12" s="55" t="b">
        <v>1</v>
      </c>
      <c r="L12" s="55" t="b">
        <v>1</v>
      </c>
    </row>
    <row r="13">
      <c r="A13" s="31">
        <v>10.0</v>
      </c>
      <c r="B13" s="61" t="s">
        <v>272</v>
      </c>
      <c r="C13" s="1">
        <v>1.150056E9</v>
      </c>
      <c r="D13" s="1" t="s">
        <v>15</v>
      </c>
      <c r="E13" s="42">
        <v>6000.0</v>
      </c>
      <c r="F13" s="1">
        <v>6000.0</v>
      </c>
      <c r="G13" s="46">
        <f t="shared" si="1"/>
        <v>0</v>
      </c>
      <c r="H13" s="62" t="s">
        <v>263</v>
      </c>
      <c r="I13" s="29"/>
      <c r="J13" s="55" t="b">
        <v>1</v>
      </c>
      <c r="K13" s="55" t="b">
        <v>1</v>
      </c>
      <c r="L13" s="55" t="b">
        <v>1</v>
      </c>
    </row>
    <row r="14">
      <c r="A14" s="31">
        <v>11.0</v>
      </c>
      <c r="B14" s="61" t="s">
        <v>273</v>
      </c>
      <c r="C14" s="1">
        <v>1.001703976E9</v>
      </c>
      <c r="D14" s="1" t="s">
        <v>15</v>
      </c>
      <c r="E14" s="42">
        <v>6000.0</v>
      </c>
      <c r="F14" s="1">
        <v>6000.0</v>
      </c>
      <c r="G14" s="46">
        <f t="shared" si="1"/>
        <v>0</v>
      </c>
      <c r="H14" s="1" t="s">
        <v>263</v>
      </c>
      <c r="I14" s="29"/>
      <c r="J14" s="55" t="b">
        <v>1</v>
      </c>
      <c r="K14" s="55" t="b">
        <v>1</v>
      </c>
      <c r="L14" s="55" t="b">
        <v>1</v>
      </c>
    </row>
    <row r="15">
      <c r="A15" s="31">
        <v>12.0</v>
      </c>
      <c r="B15" s="61" t="s">
        <v>274</v>
      </c>
      <c r="C15" s="1">
        <v>1.026205787E9</v>
      </c>
      <c r="D15" s="1" t="s">
        <v>15</v>
      </c>
      <c r="E15" s="42">
        <v>6000.0</v>
      </c>
      <c r="F15" s="1">
        <v>6000.0</v>
      </c>
      <c r="G15" s="46">
        <f t="shared" si="1"/>
        <v>0</v>
      </c>
      <c r="H15" s="62" t="s">
        <v>263</v>
      </c>
      <c r="I15" s="29"/>
      <c r="J15" s="55" t="b">
        <v>1</v>
      </c>
      <c r="K15" s="55" t="b">
        <v>1</v>
      </c>
      <c r="L15" s="55" t="b">
        <v>1</v>
      </c>
    </row>
    <row r="16">
      <c r="A16" s="31">
        <v>13.0</v>
      </c>
      <c r="B16" s="61" t="s">
        <v>275</v>
      </c>
      <c r="C16" s="1">
        <v>1.001474499E9</v>
      </c>
      <c r="D16" s="1" t="s">
        <v>15</v>
      </c>
      <c r="E16" s="42">
        <v>6000.0</v>
      </c>
      <c r="F16" s="1">
        <v>6000.0</v>
      </c>
      <c r="G16" s="46">
        <f t="shared" si="1"/>
        <v>0</v>
      </c>
      <c r="H16" s="1" t="s">
        <v>263</v>
      </c>
      <c r="I16" s="29"/>
      <c r="J16" s="55" t="b">
        <v>1</v>
      </c>
      <c r="K16" s="55" t="b">
        <v>1</v>
      </c>
      <c r="L16" s="55" t="b">
        <v>1</v>
      </c>
    </row>
    <row r="17">
      <c r="A17" s="31">
        <v>14.0</v>
      </c>
      <c r="B17" s="61" t="s">
        <v>276</v>
      </c>
      <c r="C17" s="1">
        <v>1.00548868E9</v>
      </c>
      <c r="D17" s="1" t="s">
        <v>15</v>
      </c>
      <c r="E17" s="42">
        <v>6000.0</v>
      </c>
      <c r="F17" s="1">
        <v>6000.0</v>
      </c>
      <c r="G17" s="46">
        <f t="shared" si="1"/>
        <v>0</v>
      </c>
      <c r="H17" s="62" t="s">
        <v>263</v>
      </c>
      <c r="I17" s="29"/>
      <c r="J17" s="55" t="b">
        <v>1</v>
      </c>
      <c r="K17" s="55" t="b">
        <v>1</v>
      </c>
      <c r="L17" s="55" t="b">
        <v>1</v>
      </c>
    </row>
    <row r="18">
      <c r="A18" s="31">
        <v>15.0</v>
      </c>
      <c r="B18" s="62" t="s">
        <v>277</v>
      </c>
      <c r="C18" s="1">
        <v>1.222186225E9</v>
      </c>
      <c r="D18" s="1" t="s">
        <v>15</v>
      </c>
      <c r="E18" s="42">
        <v>4200.0</v>
      </c>
      <c r="F18" s="1">
        <v>4200.0</v>
      </c>
      <c r="G18" s="46">
        <f t="shared" si="1"/>
        <v>0</v>
      </c>
      <c r="H18" s="1" t="s">
        <v>278</v>
      </c>
      <c r="I18" s="29"/>
      <c r="J18" s="55" t="b">
        <v>1</v>
      </c>
      <c r="K18" s="55" t="b">
        <v>1</v>
      </c>
      <c r="L18" s="55" t="b">
        <v>1</v>
      </c>
    </row>
    <row r="19">
      <c r="A19" s="31">
        <v>16.0</v>
      </c>
      <c r="B19" s="62" t="s">
        <v>218</v>
      </c>
      <c r="C19" s="62">
        <v>1.001418428E9</v>
      </c>
      <c r="D19" s="1" t="s">
        <v>15</v>
      </c>
      <c r="E19" s="42">
        <v>6000.0</v>
      </c>
      <c r="F19" s="1">
        <v>6000.0</v>
      </c>
      <c r="G19" s="46">
        <f t="shared" si="1"/>
        <v>0</v>
      </c>
      <c r="H19" s="1" t="s">
        <v>263</v>
      </c>
      <c r="I19" s="29"/>
      <c r="J19" s="55" t="b">
        <v>1</v>
      </c>
      <c r="K19" s="55" t="b">
        <v>1</v>
      </c>
      <c r="L19" s="55" t="b">
        <v>1</v>
      </c>
    </row>
    <row r="20">
      <c r="A20" s="31">
        <v>17.0</v>
      </c>
      <c r="B20" s="1" t="s">
        <v>127</v>
      </c>
      <c r="C20" s="1"/>
      <c r="D20" s="1"/>
      <c r="E20" s="42"/>
      <c r="F20" s="1"/>
      <c r="G20" s="1"/>
      <c r="H20" s="1"/>
      <c r="I20" s="29"/>
    </row>
    <row r="21">
      <c r="A21" s="31">
        <v>18.0</v>
      </c>
      <c r="B21" s="37"/>
      <c r="C21" s="37"/>
      <c r="D21" s="1"/>
      <c r="E21" s="42"/>
      <c r="F21" s="37"/>
      <c r="G21" s="46">
        <f t="shared" ref="G21:G38" si="2">E21-F21</f>
        <v>0</v>
      </c>
      <c r="I21" s="29"/>
    </row>
    <row r="22">
      <c r="A22" s="31">
        <v>19.0</v>
      </c>
      <c r="B22" s="37"/>
      <c r="C22" s="37"/>
      <c r="D22" s="37"/>
      <c r="E22" s="42"/>
      <c r="F22" s="37"/>
      <c r="G22" s="46">
        <f t="shared" si="2"/>
        <v>0</v>
      </c>
      <c r="H22" s="37"/>
      <c r="I22" s="29"/>
    </row>
    <row r="23">
      <c r="A23" s="31">
        <v>20.0</v>
      </c>
      <c r="B23" s="37"/>
      <c r="C23" s="37"/>
      <c r="D23" s="37"/>
      <c r="E23" s="42"/>
      <c r="F23" s="37"/>
      <c r="G23" s="46">
        <f t="shared" si="2"/>
        <v>0</v>
      </c>
      <c r="H23" s="37"/>
      <c r="I23" s="29"/>
    </row>
    <row r="24">
      <c r="A24" s="31">
        <v>21.0</v>
      </c>
      <c r="B24" s="37"/>
      <c r="C24" s="37"/>
      <c r="D24" s="37"/>
      <c r="E24" s="42"/>
      <c r="F24" s="37"/>
      <c r="G24" s="46">
        <f t="shared" si="2"/>
        <v>0</v>
      </c>
      <c r="H24" s="37"/>
      <c r="I24" s="29"/>
    </row>
    <row r="25">
      <c r="A25" s="31">
        <v>22.0</v>
      </c>
      <c r="B25" s="37"/>
      <c r="C25" s="37"/>
      <c r="D25" s="37"/>
      <c r="E25" s="42"/>
      <c r="F25" s="37"/>
      <c r="G25" s="46">
        <f t="shared" si="2"/>
        <v>0</v>
      </c>
      <c r="H25" s="37"/>
      <c r="I25" s="29"/>
    </row>
    <row r="26">
      <c r="A26" s="31">
        <v>23.0</v>
      </c>
      <c r="B26" s="37"/>
      <c r="C26" s="37"/>
      <c r="D26" s="37"/>
      <c r="E26" s="42"/>
      <c r="F26" s="37"/>
      <c r="G26" s="46">
        <f t="shared" si="2"/>
        <v>0</v>
      </c>
      <c r="H26" s="37"/>
      <c r="I26" s="29"/>
    </row>
    <row r="27">
      <c r="A27" s="31">
        <v>24.0</v>
      </c>
      <c r="B27" s="37"/>
      <c r="C27" s="37"/>
      <c r="D27" s="37"/>
      <c r="E27" s="42"/>
      <c r="F27" s="37"/>
      <c r="G27" s="46">
        <f t="shared" si="2"/>
        <v>0</v>
      </c>
      <c r="H27" s="37"/>
      <c r="I27" s="29"/>
    </row>
    <row r="28">
      <c r="A28" s="31">
        <v>25.0</v>
      </c>
      <c r="B28" s="37"/>
      <c r="C28" s="37"/>
      <c r="D28" s="37"/>
      <c r="E28" s="42"/>
      <c r="F28" s="37"/>
      <c r="G28" s="46">
        <f t="shared" si="2"/>
        <v>0</v>
      </c>
      <c r="H28" s="37"/>
      <c r="I28" s="29"/>
    </row>
    <row r="29">
      <c r="A29" s="31">
        <v>26.0</v>
      </c>
      <c r="B29" s="37"/>
      <c r="C29" s="37"/>
      <c r="D29" s="37"/>
      <c r="E29" s="42"/>
      <c r="F29" s="37"/>
      <c r="G29" s="46">
        <f t="shared" si="2"/>
        <v>0</v>
      </c>
      <c r="H29" s="37"/>
      <c r="I29" s="29"/>
    </row>
    <row r="30">
      <c r="A30" s="31">
        <v>27.0</v>
      </c>
      <c r="B30" s="37"/>
      <c r="C30" s="37"/>
      <c r="D30" s="37"/>
      <c r="E30" s="42"/>
      <c r="F30" s="37"/>
      <c r="G30" s="46">
        <f t="shared" si="2"/>
        <v>0</v>
      </c>
      <c r="H30" s="37"/>
      <c r="I30" s="29"/>
    </row>
    <row r="31">
      <c r="A31" s="31">
        <v>28.0</v>
      </c>
      <c r="B31" s="37"/>
      <c r="C31" s="37"/>
      <c r="D31" s="37"/>
      <c r="E31" s="42"/>
      <c r="F31" s="37"/>
      <c r="G31" s="46">
        <f t="shared" si="2"/>
        <v>0</v>
      </c>
      <c r="H31" s="37"/>
      <c r="I31" s="29"/>
    </row>
    <row r="32">
      <c r="A32" s="31">
        <v>29.0</v>
      </c>
      <c r="B32" s="37"/>
      <c r="C32" s="37"/>
      <c r="D32" s="37"/>
      <c r="E32" s="42"/>
      <c r="F32" s="37"/>
      <c r="G32" s="46">
        <f t="shared" si="2"/>
        <v>0</v>
      </c>
      <c r="H32" s="37"/>
      <c r="I32" s="29"/>
    </row>
    <row r="33">
      <c r="A33" s="31">
        <v>30.0</v>
      </c>
      <c r="B33" s="37"/>
      <c r="C33" s="37"/>
      <c r="D33" s="37"/>
      <c r="E33" s="42"/>
      <c r="F33" s="37"/>
      <c r="G33" s="46">
        <f t="shared" si="2"/>
        <v>0</v>
      </c>
      <c r="H33" s="37"/>
      <c r="I33" s="29"/>
    </row>
    <row r="34">
      <c r="A34" s="31">
        <v>31.0</v>
      </c>
      <c r="B34" s="37"/>
      <c r="C34" s="37"/>
      <c r="D34" s="37"/>
      <c r="E34" s="42"/>
      <c r="F34" s="37"/>
      <c r="G34" s="46">
        <f t="shared" si="2"/>
        <v>0</v>
      </c>
      <c r="H34" s="37"/>
      <c r="I34" s="29"/>
    </row>
    <row r="35">
      <c r="A35" s="31">
        <v>32.0</v>
      </c>
      <c r="B35" s="37"/>
      <c r="C35" s="37"/>
      <c r="D35" s="37"/>
      <c r="E35" s="42"/>
      <c r="F35" s="37"/>
      <c r="G35" s="46">
        <f t="shared" si="2"/>
        <v>0</v>
      </c>
      <c r="H35" s="37"/>
      <c r="I35" s="29"/>
    </row>
    <row r="36">
      <c r="A36" s="31">
        <v>33.0</v>
      </c>
      <c r="B36" s="37"/>
      <c r="C36" s="37"/>
      <c r="D36" s="37"/>
      <c r="E36" s="42"/>
      <c r="F36" s="37"/>
      <c r="G36" s="46">
        <f t="shared" si="2"/>
        <v>0</v>
      </c>
      <c r="H36" s="37"/>
      <c r="I36" s="29"/>
    </row>
    <row r="37">
      <c r="A37" s="31">
        <v>34.0</v>
      </c>
      <c r="B37" s="37"/>
      <c r="C37" s="37"/>
      <c r="D37" s="37"/>
      <c r="E37" s="42"/>
      <c r="F37" s="37"/>
      <c r="G37" s="46">
        <f t="shared" si="2"/>
        <v>0</v>
      </c>
      <c r="H37" s="37"/>
      <c r="I37" s="29"/>
    </row>
    <row r="38">
      <c r="A38" s="31">
        <v>35.0</v>
      </c>
      <c r="B38" s="37"/>
      <c r="C38" s="37"/>
      <c r="D38" s="37"/>
      <c r="E38" s="42"/>
      <c r="F38" s="37"/>
      <c r="G38" s="46">
        <f t="shared" si="2"/>
        <v>0</v>
      </c>
      <c r="H38" s="37"/>
      <c r="I38" s="29"/>
    </row>
    <row r="39">
      <c r="A39" s="1" t="s">
        <v>28</v>
      </c>
      <c r="B39" s="40">
        <f>countif(B4:B38,"*")</f>
        <v>17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</sheetData>
  <mergeCells count="7">
    <mergeCell ref="A1:H1"/>
    <mergeCell ref="I1:I2"/>
    <mergeCell ref="A2:A3"/>
    <mergeCell ref="B2:B3"/>
    <mergeCell ref="C2:C3"/>
    <mergeCell ref="D2:D3"/>
    <mergeCell ref="E2:H2"/>
  </mergeCells>
  <dataValidations>
    <dataValidation type="list" allowBlank="1" sqref="D4:D38">
      <formula1>Data!$A$2:$A$12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7.63"/>
    <col customWidth="1" min="5" max="5" width="11.0"/>
    <col customWidth="1" min="6" max="6" width="9.63"/>
    <col customWidth="1" min="7" max="7" width="11.5"/>
    <col customWidth="1" min="8" max="8" width="14.13"/>
    <col customWidth="1" min="9" max="9" width="13.25"/>
    <col customWidth="1" min="10" max="13" width="8.38"/>
    <col customWidth="1" min="14" max="14" width="4.75"/>
    <col customWidth="1" min="15" max="15" width="15.63"/>
    <col customWidth="1" min="16" max="16" width="14.25"/>
    <col customWidth="1" min="17" max="17" width="15.13"/>
    <col customWidth="1" min="18" max="18" width="11.25"/>
    <col customWidth="1" min="19" max="19" width="12.0"/>
    <col customWidth="1" min="20" max="20" width="15.75"/>
    <col customWidth="1" min="21" max="21" width="33.63"/>
    <col customWidth="1" min="22" max="22" width="10.5"/>
  </cols>
  <sheetData>
    <row r="1">
      <c r="A1" s="3" t="s">
        <v>265</v>
      </c>
      <c r="B1" s="5"/>
      <c r="C1" s="5"/>
      <c r="D1" s="5"/>
      <c r="E1" s="5"/>
      <c r="F1" s="5"/>
      <c r="G1" s="5"/>
      <c r="H1" s="6"/>
      <c r="I1" s="8" t="s">
        <v>17</v>
      </c>
      <c r="R1" s="3" t="s">
        <v>267</v>
      </c>
      <c r="S1" s="164"/>
      <c r="T1" s="164"/>
      <c r="U1" s="1"/>
      <c r="V1" s="8" t="s">
        <v>17</v>
      </c>
    </row>
    <row r="2">
      <c r="A2" s="14" t="s">
        <v>21</v>
      </c>
      <c r="B2" s="14" t="s">
        <v>22</v>
      </c>
      <c r="C2" s="14" t="s">
        <v>24</v>
      </c>
      <c r="D2" s="14" t="s">
        <v>0</v>
      </c>
      <c r="E2" s="18" t="s">
        <v>26</v>
      </c>
      <c r="F2" s="5"/>
      <c r="G2" s="5"/>
      <c r="H2" s="6"/>
      <c r="I2" s="15"/>
      <c r="N2" s="14" t="s">
        <v>21</v>
      </c>
      <c r="O2" s="14" t="s">
        <v>22</v>
      </c>
      <c r="P2" s="14" t="s">
        <v>24</v>
      </c>
      <c r="Q2" s="14" t="s">
        <v>0</v>
      </c>
      <c r="R2" s="18" t="s">
        <v>26</v>
      </c>
      <c r="S2" s="160"/>
      <c r="T2" s="160"/>
      <c r="U2" s="1"/>
      <c r="V2" s="15"/>
      <c r="W2" s="55"/>
    </row>
    <row r="3">
      <c r="A3" s="15"/>
      <c r="B3" s="15"/>
      <c r="C3" s="15"/>
      <c r="D3" s="15"/>
      <c r="E3" s="25" t="s">
        <v>34</v>
      </c>
      <c r="F3" s="25" t="s">
        <v>35</v>
      </c>
      <c r="G3" s="25" t="s">
        <v>36</v>
      </c>
      <c r="H3" s="25" t="s">
        <v>37</v>
      </c>
      <c r="I3" s="29"/>
      <c r="J3" s="55" t="s">
        <v>29</v>
      </c>
      <c r="K3" s="55" t="s">
        <v>30</v>
      </c>
      <c r="L3" s="55" t="s">
        <v>31</v>
      </c>
      <c r="N3" s="15"/>
      <c r="O3" s="15"/>
      <c r="P3" s="15"/>
      <c r="Q3" s="15"/>
      <c r="R3" s="25" t="s">
        <v>34</v>
      </c>
      <c r="S3" s="25" t="s">
        <v>35</v>
      </c>
      <c r="T3" s="25" t="s">
        <v>36</v>
      </c>
      <c r="U3" s="25" t="s">
        <v>37</v>
      </c>
      <c r="V3" s="29"/>
      <c r="W3" s="55" t="s">
        <v>279</v>
      </c>
      <c r="X3" s="55" t="s">
        <v>280</v>
      </c>
      <c r="Y3" s="55" t="s">
        <v>281</v>
      </c>
    </row>
    <row r="4">
      <c r="A4" s="31">
        <v>1.0</v>
      </c>
      <c r="B4" s="32" t="s">
        <v>282</v>
      </c>
      <c r="C4" s="162">
        <v>1.116754449E9</v>
      </c>
      <c r="D4" s="1" t="s">
        <v>6</v>
      </c>
      <c r="E4" s="42">
        <v>3600.0</v>
      </c>
      <c r="F4" s="1">
        <v>3300.0</v>
      </c>
      <c r="G4" s="46">
        <f t="shared" ref="G4:G40" si="1">E4-F4</f>
        <v>300</v>
      </c>
      <c r="H4" s="1"/>
      <c r="I4" s="48"/>
      <c r="J4" s="55" t="b">
        <v>1</v>
      </c>
      <c r="K4" s="55" t="b">
        <v>1</v>
      </c>
      <c r="L4" s="55" t="b">
        <v>1</v>
      </c>
      <c r="N4" s="31">
        <v>1.0</v>
      </c>
      <c r="O4" s="32" t="s">
        <v>283</v>
      </c>
      <c r="P4" s="34"/>
      <c r="Q4" s="1" t="s">
        <v>6</v>
      </c>
      <c r="R4" s="42">
        <v>3600.0</v>
      </c>
      <c r="S4" s="1">
        <v>3350.0</v>
      </c>
      <c r="T4" s="46">
        <f t="shared" ref="T4:T20" si="2">R4-S4</f>
        <v>250</v>
      </c>
      <c r="U4" s="1"/>
      <c r="V4" s="48"/>
      <c r="W4" s="55" t="s">
        <v>50</v>
      </c>
      <c r="X4" s="55" t="s">
        <v>50</v>
      </c>
      <c r="Y4" s="55" t="s">
        <v>50</v>
      </c>
    </row>
    <row r="5">
      <c r="A5" s="31">
        <v>2.0</v>
      </c>
      <c r="B5" s="55" t="s">
        <v>284</v>
      </c>
      <c r="C5" s="165" t="s">
        <v>285</v>
      </c>
      <c r="D5" s="1" t="s">
        <v>13</v>
      </c>
      <c r="E5" s="42">
        <v>3600.0</v>
      </c>
      <c r="F5" s="1">
        <v>3350.0</v>
      </c>
      <c r="G5" s="46">
        <f t="shared" si="1"/>
        <v>250</v>
      </c>
      <c r="H5" s="1" t="s">
        <v>198</v>
      </c>
      <c r="I5" s="48"/>
      <c r="J5" s="55" t="b">
        <v>1</v>
      </c>
      <c r="K5" s="55" t="b">
        <v>1</v>
      </c>
      <c r="L5" s="55" t="b">
        <v>1</v>
      </c>
      <c r="N5" s="31">
        <v>2.0</v>
      </c>
      <c r="O5" s="1" t="s">
        <v>286</v>
      </c>
      <c r="P5" s="37"/>
      <c r="Q5" s="1" t="s">
        <v>6</v>
      </c>
      <c r="R5" s="42">
        <v>3600.0</v>
      </c>
      <c r="S5" s="1"/>
      <c r="T5" s="46">
        <f t="shared" si="2"/>
        <v>3600</v>
      </c>
      <c r="U5" s="1"/>
      <c r="V5" s="48"/>
      <c r="W5" s="55" t="s">
        <v>50</v>
      </c>
      <c r="X5" s="55" t="s">
        <v>50</v>
      </c>
      <c r="Y5" s="55" t="s">
        <v>50</v>
      </c>
    </row>
    <row r="6">
      <c r="A6" s="31">
        <v>3.0</v>
      </c>
      <c r="B6" s="1" t="s">
        <v>287</v>
      </c>
      <c r="C6" s="1">
        <v>1.0019111918E10</v>
      </c>
      <c r="D6" s="1" t="s">
        <v>6</v>
      </c>
      <c r="E6" s="42">
        <v>3600.0</v>
      </c>
      <c r="F6" s="1">
        <v>3350.0</v>
      </c>
      <c r="G6" s="46">
        <f t="shared" si="1"/>
        <v>250</v>
      </c>
      <c r="H6" s="1"/>
      <c r="I6" s="29"/>
      <c r="J6" s="55" t="b">
        <v>1</v>
      </c>
      <c r="K6" s="55" t="b">
        <v>1</v>
      </c>
      <c r="L6" s="55" t="b">
        <v>1</v>
      </c>
      <c r="N6" s="31">
        <v>3.0</v>
      </c>
      <c r="O6" s="1" t="s">
        <v>288</v>
      </c>
      <c r="P6" s="1">
        <v>1.020088272E9</v>
      </c>
      <c r="Q6" s="1" t="s">
        <v>13</v>
      </c>
      <c r="R6" s="42">
        <v>3600.0</v>
      </c>
      <c r="S6" s="1">
        <v>3600.0</v>
      </c>
      <c r="T6" s="46">
        <f t="shared" si="2"/>
        <v>0</v>
      </c>
      <c r="U6" s="1" t="s">
        <v>289</v>
      </c>
      <c r="V6" s="29"/>
      <c r="W6" s="55" t="s">
        <v>50</v>
      </c>
      <c r="X6" s="55" t="s">
        <v>50</v>
      </c>
      <c r="Y6" s="55" t="s">
        <v>50</v>
      </c>
    </row>
    <row r="7">
      <c r="A7" s="31">
        <v>4.0</v>
      </c>
      <c r="B7" s="1" t="s">
        <v>290</v>
      </c>
      <c r="C7" s="1">
        <v>1.065622777E9</v>
      </c>
      <c r="D7" s="1" t="s">
        <v>15</v>
      </c>
      <c r="E7" s="42">
        <v>3600.0</v>
      </c>
      <c r="F7" s="1">
        <v>1800.0</v>
      </c>
      <c r="G7" s="46">
        <f t="shared" si="1"/>
        <v>1800</v>
      </c>
      <c r="H7" s="1" t="s">
        <v>291</v>
      </c>
      <c r="I7" s="48"/>
      <c r="J7" s="55" t="b">
        <v>1</v>
      </c>
      <c r="K7" s="55" t="b">
        <v>1</v>
      </c>
      <c r="L7" s="55" t="b">
        <v>1</v>
      </c>
      <c r="N7" s="31">
        <v>4.0</v>
      </c>
      <c r="O7" s="1" t="s">
        <v>292</v>
      </c>
      <c r="P7" s="37"/>
      <c r="Q7" s="1" t="s">
        <v>6</v>
      </c>
      <c r="R7" s="42">
        <v>3600.0</v>
      </c>
      <c r="S7" s="1">
        <v>3350.0</v>
      </c>
      <c r="T7" s="46">
        <f t="shared" si="2"/>
        <v>250</v>
      </c>
      <c r="U7" s="1"/>
      <c r="V7" s="48"/>
      <c r="W7" s="55" t="s">
        <v>57</v>
      </c>
      <c r="X7" s="55" t="s">
        <v>57</v>
      </c>
      <c r="Y7" s="55" t="s">
        <v>57</v>
      </c>
    </row>
    <row r="8">
      <c r="A8" s="31">
        <v>5.0</v>
      </c>
      <c r="B8" s="1" t="s">
        <v>293</v>
      </c>
      <c r="C8" s="1">
        <v>1.023720002E9</v>
      </c>
      <c r="D8" s="1" t="s">
        <v>15</v>
      </c>
      <c r="E8" s="42">
        <v>3600.0</v>
      </c>
      <c r="F8" s="1">
        <v>3350.0</v>
      </c>
      <c r="G8" s="46">
        <f t="shared" si="1"/>
        <v>250</v>
      </c>
      <c r="H8" s="1" t="s">
        <v>198</v>
      </c>
      <c r="I8" s="48"/>
      <c r="J8" s="55" t="b">
        <v>1</v>
      </c>
      <c r="K8" s="55" t="b">
        <v>1</v>
      </c>
      <c r="L8" s="55" t="b">
        <v>1</v>
      </c>
      <c r="N8" s="31">
        <v>5.0</v>
      </c>
      <c r="O8" s="1" t="s">
        <v>294</v>
      </c>
      <c r="P8" s="37"/>
      <c r="Q8" s="1" t="s">
        <v>6</v>
      </c>
      <c r="R8" s="42">
        <v>3600.0</v>
      </c>
      <c r="S8" s="1">
        <v>3350.0</v>
      </c>
      <c r="T8" s="46">
        <f t="shared" si="2"/>
        <v>250</v>
      </c>
      <c r="U8" s="1" t="s">
        <v>295</v>
      </c>
      <c r="V8" s="48"/>
      <c r="W8" s="55" t="s">
        <v>50</v>
      </c>
      <c r="X8" s="55" t="s">
        <v>50</v>
      </c>
      <c r="Y8" s="55" t="s">
        <v>50</v>
      </c>
    </row>
    <row r="9">
      <c r="A9" s="31">
        <v>6.0</v>
      </c>
      <c r="B9" s="1"/>
      <c r="C9" s="37"/>
      <c r="D9" s="1"/>
      <c r="E9" s="42">
        <v>3600.0</v>
      </c>
      <c r="F9" s="1"/>
      <c r="G9" s="46">
        <f t="shared" si="1"/>
        <v>3600</v>
      </c>
      <c r="H9" s="1"/>
      <c r="I9" s="48"/>
      <c r="N9" s="31">
        <v>6.0</v>
      </c>
      <c r="O9" s="1" t="s">
        <v>296</v>
      </c>
      <c r="P9" s="1" t="s">
        <v>297</v>
      </c>
      <c r="Q9" s="1" t="s">
        <v>13</v>
      </c>
      <c r="R9" s="42">
        <v>3600.0</v>
      </c>
      <c r="S9" s="1">
        <v>3600.0</v>
      </c>
      <c r="T9" s="46">
        <f t="shared" si="2"/>
        <v>0</v>
      </c>
      <c r="U9" s="1"/>
      <c r="V9" s="48"/>
      <c r="W9" s="55" t="s">
        <v>50</v>
      </c>
      <c r="X9" s="55" t="s">
        <v>298</v>
      </c>
      <c r="Y9" s="55" t="s">
        <v>298</v>
      </c>
    </row>
    <row r="10">
      <c r="A10" s="31">
        <v>7.0</v>
      </c>
      <c r="B10" s="37"/>
      <c r="C10" s="37"/>
      <c r="D10" s="37"/>
      <c r="E10" s="42">
        <v>3600.0</v>
      </c>
      <c r="F10" s="37"/>
      <c r="G10" s="46">
        <f t="shared" si="1"/>
        <v>3600</v>
      </c>
      <c r="H10" s="37"/>
      <c r="I10" s="29"/>
      <c r="N10" s="31">
        <v>7.0</v>
      </c>
      <c r="O10" s="1" t="s">
        <v>299</v>
      </c>
      <c r="P10" s="37"/>
      <c r="Q10" s="1" t="s">
        <v>6</v>
      </c>
      <c r="R10" s="42">
        <v>3600.0</v>
      </c>
      <c r="S10" s="1">
        <v>3350.0</v>
      </c>
      <c r="T10" s="46">
        <f t="shared" si="2"/>
        <v>250</v>
      </c>
      <c r="U10" s="55" t="s">
        <v>300</v>
      </c>
      <c r="V10" s="29"/>
      <c r="W10" s="55" t="s">
        <v>50</v>
      </c>
      <c r="X10" s="55" t="s">
        <v>50</v>
      </c>
      <c r="Y10" s="55" t="s">
        <v>50</v>
      </c>
    </row>
    <row r="11">
      <c r="A11" s="31">
        <v>8.0</v>
      </c>
      <c r="B11" s="37"/>
      <c r="C11" s="37"/>
      <c r="D11" s="37"/>
      <c r="E11" s="42">
        <v>3600.0</v>
      </c>
      <c r="F11" s="37"/>
      <c r="G11" s="46">
        <f t="shared" si="1"/>
        <v>3600</v>
      </c>
      <c r="H11" s="37"/>
      <c r="I11" s="29"/>
      <c r="N11" s="31">
        <v>8.0</v>
      </c>
      <c r="O11" s="37"/>
      <c r="P11" s="37"/>
      <c r="Q11" s="37"/>
      <c r="R11" s="42">
        <v>3600.0</v>
      </c>
      <c r="S11" s="37"/>
      <c r="T11" s="46">
        <f t="shared" si="2"/>
        <v>3600</v>
      </c>
      <c r="U11" s="25"/>
      <c r="V11" s="29"/>
    </row>
    <row r="12">
      <c r="A12" s="31">
        <v>9.0</v>
      </c>
      <c r="B12" s="37"/>
      <c r="C12" s="37"/>
      <c r="D12" s="37"/>
      <c r="E12" s="42">
        <v>3600.0</v>
      </c>
      <c r="F12" s="37"/>
      <c r="G12" s="46">
        <f t="shared" si="1"/>
        <v>3600</v>
      </c>
      <c r="H12" s="37"/>
      <c r="I12" s="29"/>
      <c r="N12" s="31">
        <v>9.0</v>
      </c>
      <c r="O12" s="37"/>
      <c r="P12" s="37"/>
      <c r="Q12" s="37"/>
      <c r="R12" s="42">
        <v>3600.0</v>
      </c>
      <c r="S12" s="37"/>
      <c r="T12" s="46">
        <f t="shared" si="2"/>
        <v>3600</v>
      </c>
      <c r="U12" s="1"/>
      <c r="V12" s="29"/>
    </row>
    <row r="13">
      <c r="A13" s="31">
        <v>10.0</v>
      </c>
      <c r="B13" s="37"/>
      <c r="C13" s="37"/>
      <c r="D13" s="37"/>
      <c r="E13" s="42">
        <v>3600.0</v>
      </c>
      <c r="F13" s="37"/>
      <c r="G13" s="46">
        <f t="shared" si="1"/>
        <v>3600</v>
      </c>
      <c r="H13" s="37"/>
      <c r="I13" s="29"/>
      <c r="N13" s="31">
        <v>10.0</v>
      </c>
      <c r="O13" s="37"/>
      <c r="P13" s="37"/>
      <c r="Q13" s="37"/>
      <c r="R13" s="42">
        <v>3600.0</v>
      </c>
      <c r="S13" s="37"/>
      <c r="T13" s="46">
        <f t="shared" si="2"/>
        <v>3600</v>
      </c>
      <c r="U13" s="1"/>
      <c r="V13" s="29"/>
    </row>
    <row r="14">
      <c r="A14" s="31">
        <v>11.0</v>
      </c>
      <c r="B14" s="37"/>
      <c r="C14" s="37"/>
      <c r="D14" s="37"/>
      <c r="E14" s="42">
        <v>3600.0</v>
      </c>
      <c r="F14" s="37"/>
      <c r="G14" s="46">
        <f t="shared" si="1"/>
        <v>3600</v>
      </c>
      <c r="H14" s="37"/>
      <c r="I14" s="29"/>
      <c r="N14" s="31">
        <v>11.0</v>
      </c>
      <c r="O14" s="37"/>
      <c r="P14" s="37"/>
      <c r="Q14" s="37"/>
      <c r="R14" s="42">
        <v>3600.0</v>
      </c>
      <c r="S14" s="37"/>
      <c r="T14" s="46">
        <f t="shared" si="2"/>
        <v>3600</v>
      </c>
      <c r="U14" s="1"/>
      <c r="V14" s="29"/>
    </row>
    <row r="15">
      <c r="A15" s="31">
        <v>12.0</v>
      </c>
      <c r="B15" s="37"/>
      <c r="C15" s="37"/>
      <c r="D15" s="37"/>
      <c r="E15" s="42">
        <v>3600.0</v>
      </c>
      <c r="F15" s="37"/>
      <c r="G15" s="46">
        <f t="shared" si="1"/>
        <v>3600</v>
      </c>
      <c r="H15" s="37"/>
      <c r="I15" s="29"/>
      <c r="N15" s="31">
        <v>12.0</v>
      </c>
      <c r="O15" s="37"/>
      <c r="P15" s="37"/>
      <c r="Q15" s="37"/>
      <c r="R15" s="42">
        <v>3600.0</v>
      </c>
      <c r="S15" s="37"/>
      <c r="T15" s="46">
        <f t="shared" si="2"/>
        <v>3600</v>
      </c>
      <c r="U15" s="1"/>
      <c r="V15" s="29"/>
    </row>
    <row r="16">
      <c r="A16" s="31">
        <v>13.0</v>
      </c>
      <c r="B16" s="37"/>
      <c r="C16" s="37"/>
      <c r="D16" s="37"/>
      <c r="E16" s="42">
        <v>3600.0</v>
      </c>
      <c r="F16" s="37"/>
      <c r="G16" s="46">
        <f t="shared" si="1"/>
        <v>3600</v>
      </c>
      <c r="H16" s="37"/>
      <c r="I16" s="29"/>
      <c r="N16" s="31">
        <v>13.0</v>
      </c>
      <c r="O16" s="37"/>
      <c r="P16" s="37"/>
      <c r="Q16" s="37"/>
      <c r="R16" s="42">
        <v>3600.0</v>
      </c>
      <c r="S16" s="37"/>
      <c r="T16" s="46">
        <f t="shared" si="2"/>
        <v>3600</v>
      </c>
      <c r="U16" s="37"/>
      <c r="V16" s="29"/>
    </row>
    <row r="17">
      <c r="A17" s="31">
        <v>14.0</v>
      </c>
      <c r="B17" s="37"/>
      <c r="C17" s="37"/>
      <c r="D17" s="37"/>
      <c r="E17" s="42">
        <v>3600.0</v>
      </c>
      <c r="F17" s="37"/>
      <c r="G17" s="46">
        <f t="shared" si="1"/>
        <v>3600</v>
      </c>
      <c r="H17" s="37"/>
      <c r="I17" s="29"/>
      <c r="N17" s="31">
        <v>14.0</v>
      </c>
      <c r="O17" s="37"/>
      <c r="P17" s="37"/>
      <c r="Q17" s="37"/>
      <c r="R17" s="42">
        <v>3600.0</v>
      </c>
      <c r="S17" s="37"/>
      <c r="T17" s="46">
        <f t="shared" si="2"/>
        <v>3600</v>
      </c>
      <c r="U17" s="1"/>
      <c r="V17" s="29"/>
    </row>
    <row r="18">
      <c r="A18" s="31">
        <v>15.0</v>
      </c>
      <c r="B18" s="37"/>
      <c r="C18" s="37"/>
      <c r="D18" s="37"/>
      <c r="E18" s="42">
        <v>3600.0</v>
      </c>
      <c r="F18" s="37"/>
      <c r="G18" s="46">
        <f t="shared" si="1"/>
        <v>3600</v>
      </c>
      <c r="H18" s="37"/>
      <c r="I18" s="29"/>
      <c r="N18" s="31">
        <v>15.0</v>
      </c>
      <c r="O18" s="37"/>
      <c r="P18" s="37"/>
      <c r="Q18" s="37"/>
      <c r="R18" s="42">
        <v>3600.0</v>
      </c>
      <c r="S18" s="37"/>
      <c r="T18" s="46">
        <f t="shared" si="2"/>
        <v>3600</v>
      </c>
      <c r="U18" s="1" t="s">
        <v>127</v>
      </c>
      <c r="V18" s="29"/>
    </row>
    <row r="19">
      <c r="A19" s="31">
        <v>16.0</v>
      </c>
      <c r="B19" s="37"/>
      <c r="C19" s="37"/>
      <c r="D19" s="37"/>
      <c r="E19" s="42">
        <v>3600.0</v>
      </c>
      <c r="F19" s="37"/>
      <c r="G19" s="46">
        <f t="shared" si="1"/>
        <v>3600</v>
      </c>
      <c r="H19" s="37"/>
      <c r="I19" s="29"/>
      <c r="N19" s="31">
        <v>16.0</v>
      </c>
      <c r="O19" s="37"/>
      <c r="P19" s="37"/>
      <c r="Q19" s="37"/>
      <c r="R19" s="42">
        <v>3600.0</v>
      </c>
      <c r="S19" s="37"/>
      <c r="T19" s="46">
        <f t="shared" si="2"/>
        <v>3600</v>
      </c>
      <c r="U19" s="25"/>
      <c r="V19" s="29"/>
    </row>
    <row r="20">
      <c r="A20" s="31">
        <v>17.0</v>
      </c>
      <c r="B20" s="37"/>
      <c r="C20" s="37"/>
      <c r="D20" s="37"/>
      <c r="E20" s="42">
        <v>3600.0</v>
      </c>
      <c r="F20" s="37"/>
      <c r="G20" s="46">
        <f t="shared" si="1"/>
        <v>3600</v>
      </c>
      <c r="H20" s="37"/>
      <c r="I20" s="29"/>
      <c r="N20" s="31">
        <v>17.0</v>
      </c>
      <c r="O20" s="37"/>
      <c r="P20" s="37"/>
      <c r="Q20" s="37"/>
      <c r="R20" s="42">
        <v>3600.0</v>
      </c>
      <c r="S20" s="37"/>
      <c r="T20" s="46">
        <f t="shared" si="2"/>
        <v>3600</v>
      </c>
      <c r="U20" s="1"/>
      <c r="V20" s="29"/>
    </row>
    <row r="21">
      <c r="A21" s="31">
        <v>18.0</v>
      </c>
      <c r="B21" s="37"/>
      <c r="C21" s="37"/>
      <c r="D21" s="37"/>
      <c r="E21" s="42">
        <v>3600.0</v>
      </c>
      <c r="F21" s="37"/>
      <c r="G21" s="46">
        <f t="shared" si="1"/>
        <v>3600</v>
      </c>
      <c r="H21" s="37"/>
      <c r="I21" s="29"/>
      <c r="N21" s="1" t="s">
        <v>301</v>
      </c>
      <c r="O21" s="166">
        <f>countif(O4:O20,"*")</f>
        <v>7</v>
      </c>
      <c r="P21" s="167"/>
      <c r="Q21" s="167"/>
      <c r="R21" s="167"/>
      <c r="S21" s="167"/>
      <c r="T21" s="167"/>
      <c r="U21" s="1"/>
      <c r="V21" s="8"/>
    </row>
    <row r="22">
      <c r="A22" s="31">
        <v>19.0</v>
      </c>
      <c r="B22" s="37"/>
      <c r="C22" s="37"/>
      <c r="D22" s="37"/>
      <c r="E22" s="42">
        <v>3600.0</v>
      </c>
      <c r="F22" s="37"/>
      <c r="G22" s="46">
        <f t="shared" si="1"/>
        <v>3600</v>
      </c>
      <c r="H22" s="37"/>
      <c r="I22" s="29"/>
      <c r="N22" s="168"/>
      <c r="O22" s="168"/>
      <c r="P22" s="168"/>
      <c r="Q22" s="168"/>
      <c r="R22" s="169"/>
      <c r="S22" s="170"/>
      <c r="T22" s="170"/>
      <c r="U22" s="1"/>
      <c r="V22" s="15"/>
    </row>
    <row r="23">
      <c r="A23" s="31">
        <v>20.0</v>
      </c>
      <c r="B23" s="37"/>
      <c r="C23" s="37"/>
      <c r="D23" s="37"/>
      <c r="E23" s="42">
        <v>3600.0</v>
      </c>
      <c r="F23" s="37"/>
      <c r="G23" s="46">
        <f t="shared" si="1"/>
        <v>3600</v>
      </c>
      <c r="H23" s="37"/>
      <c r="I23" s="29"/>
      <c r="N23" s="15"/>
      <c r="O23" s="15"/>
      <c r="P23" s="15"/>
      <c r="Q23" s="15"/>
      <c r="R23" s="26"/>
      <c r="S23" s="26"/>
      <c r="T23" s="26"/>
      <c r="U23" s="1"/>
      <c r="V23" s="29"/>
    </row>
    <row r="24">
      <c r="A24" s="31">
        <v>21.0</v>
      </c>
      <c r="B24" s="37"/>
      <c r="C24" s="37"/>
      <c r="D24" s="37"/>
      <c r="E24" s="42">
        <v>3600.0</v>
      </c>
      <c r="F24" s="37"/>
      <c r="G24" s="46">
        <f t="shared" si="1"/>
        <v>3600</v>
      </c>
      <c r="H24" s="37"/>
      <c r="I24" s="29"/>
      <c r="N24" s="31"/>
      <c r="O24" s="32"/>
      <c r="P24" s="34"/>
      <c r="Q24" s="1"/>
      <c r="R24" s="42"/>
      <c r="S24" s="1"/>
      <c r="T24" s="37"/>
      <c r="U24" s="37"/>
      <c r="V24" s="48"/>
    </row>
    <row r="25">
      <c r="A25" s="31">
        <v>22.0</v>
      </c>
      <c r="B25" s="37"/>
      <c r="C25" s="37"/>
      <c r="D25" s="37"/>
      <c r="E25" s="42">
        <v>3600.0</v>
      </c>
      <c r="F25" s="37"/>
      <c r="G25" s="46">
        <f t="shared" si="1"/>
        <v>3600</v>
      </c>
      <c r="H25" s="37"/>
      <c r="I25" s="29"/>
      <c r="N25" s="31"/>
      <c r="O25" s="1"/>
      <c r="P25" s="37"/>
      <c r="Q25" s="1"/>
      <c r="R25" s="42"/>
      <c r="S25" s="1"/>
      <c r="T25" s="37"/>
      <c r="U25" s="1"/>
      <c r="V25" s="48"/>
    </row>
    <row r="26">
      <c r="A26" s="31">
        <v>23.0</v>
      </c>
      <c r="B26" s="37"/>
      <c r="C26" s="37"/>
      <c r="D26" s="37"/>
      <c r="E26" s="42">
        <v>3600.0</v>
      </c>
      <c r="F26" s="37"/>
      <c r="G26" s="46">
        <f t="shared" si="1"/>
        <v>3600</v>
      </c>
      <c r="H26" s="37"/>
      <c r="I26" s="29"/>
      <c r="N26" s="31"/>
      <c r="O26" s="1"/>
      <c r="P26" s="37"/>
      <c r="Q26" s="1"/>
      <c r="R26" s="42"/>
      <c r="S26" s="1"/>
      <c r="T26" s="37"/>
      <c r="U26" s="1"/>
      <c r="V26" s="29"/>
    </row>
    <row r="27">
      <c r="A27" s="31">
        <v>24.0</v>
      </c>
      <c r="B27" s="37"/>
      <c r="C27" s="37"/>
      <c r="D27" s="37"/>
      <c r="E27" s="42">
        <v>3600.0</v>
      </c>
      <c r="F27" s="37"/>
      <c r="G27" s="46">
        <f t="shared" si="1"/>
        <v>3600</v>
      </c>
      <c r="H27" s="37"/>
      <c r="I27" s="29"/>
      <c r="N27" s="31"/>
      <c r="O27" s="1"/>
      <c r="P27" s="37"/>
      <c r="Q27" s="1"/>
      <c r="R27" s="42"/>
      <c r="S27" s="1"/>
      <c r="T27" s="37"/>
      <c r="U27" s="25"/>
      <c r="V27" s="48"/>
    </row>
    <row r="28">
      <c r="A28" s="31">
        <v>25.0</v>
      </c>
      <c r="B28" s="37"/>
      <c r="C28" s="37"/>
      <c r="D28" s="37"/>
      <c r="E28" s="42">
        <v>3600.0</v>
      </c>
      <c r="F28" s="37"/>
      <c r="G28" s="46">
        <f t="shared" si="1"/>
        <v>3600</v>
      </c>
      <c r="H28" s="37"/>
      <c r="I28" s="29"/>
      <c r="N28" s="31"/>
      <c r="O28" s="1"/>
      <c r="P28" s="37"/>
      <c r="Q28" s="1"/>
      <c r="R28" s="42"/>
      <c r="S28" s="1"/>
      <c r="T28" s="37"/>
      <c r="U28" s="1"/>
      <c r="V28" s="48"/>
    </row>
    <row r="29">
      <c r="A29" s="31">
        <v>26.0</v>
      </c>
      <c r="B29" s="37"/>
      <c r="C29" s="37"/>
      <c r="D29" s="37"/>
      <c r="E29" s="42">
        <v>3600.0</v>
      </c>
      <c r="F29" s="37"/>
      <c r="G29" s="46">
        <f t="shared" si="1"/>
        <v>3600</v>
      </c>
      <c r="H29" s="37"/>
      <c r="I29" s="29"/>
      <c r="N29" s="31"/>
      <c r="O29" s="1"/>
      <c r="P29" s="37"/>
      <c r="Q29" s="1"/>
      <c r="R29" s="42"/>
      <c r="S29" s="1"/>
      <c r="T29" s="37"/>
      <c r="U29" s="1"/>
      <c r="V29" s="48"/>
    </row>
    <row r="30">
      <c r="A30" s="31">
        <v>27.0</v>
      </c>
      <c r="B30" s="37"/>
      <c r="C30" s="37"/>
      <c r="D30" s="37"/>
      <c r="E30" s="42">
        <v>3600.0</v>
      </c>
      <c r="F30" s="37"/>
      <c r="G30" s="46">
        <f t="shared" si="1"/>
        <v>3600</v>
      </c>
      <c r="H30" s="37"/>
      <c r="I30" s="29"/>
      <c r="N30" s="31"/>
      <c r="O30" s="37"/>
      <c r="P30" s="37"/>
      <c r="Q30" s="37"/>
      <c r="R30" s="42"/>
      <c r="S30" s="37"/>
      <c r="T30" s="37"/>
      <c r="U30" s="1"/>
      <c r="V30" s="29"/>
    </row>
    <row r="31">
      <c r="A31" s="31">
        <v>28.0</v>
      </c>
      <c r="B31" s="37"/>
      <c r="C31" s="37"/>
      <c r="D31" s="37"/>
      <c r="E31" s="42">
        <v>3600.0</v>
      </c>
      <c r="F31" s="37"/>
      <c r="G31" s="46">
        <f t="shared" si="1"/>
        <v>3600</v>
      </c>
      <c r="H31" s="37"/>
      <c r="I31" s="29"/>
      <c r="N31" s="31"/>
      <c r="O31" s="37"/>
      <c r="P31" s="37"/>
      <c r="Q31" s="37"/>
      <c r="R31" s="42"/>
      <c r="S31" s="37"/>
      <c r="T31" s="37"/>
      <c r="U31" s="1"/>
      <c r="V31" s="29"/>
    </row>
    <row r="32">
      <c r="A32" s="31">
        <v>29.0</v>
      </c>
      <c r="B32" s="37"/>
      <c r="C32" s="37"/>
      <c r="D32" s="37"/>
      <c r="E32" s="42">
        <v>3600.0</v>
      </c>
      <c r="F32" s="37"/>
      <c r="G32" s="46">
        <f t="shared" si="1"/>
        <v>3600</v>
      </c>
      <c r="H32" s="37"/>
      <c r="I32" s="29"/>
      <c r="N32" s="31"/>
      <c r="O32" s="37"/>
      <c r="P32" s="37"/>
      <c r="Q32" s="37"/>
      <c r="R32" s="42"/>
      <c r="S32" s="37"/>
      <c r="T32" s="37"/>
      <c r="U32" s="37"/>
      <c r="V32" s="29"/>
    </row>
    <row r="33">
      <c r="A33" s="31">
        <v>30.0</v>
      </c>
      <c r="B33" s="37"/>
      <c r="C33" s="37"/>
      <c r="D33" s="37"/>
      <c r="E33" s="42">
        <v>3600.0</v>
      </c>
      <c r="F33" s="37"/>
      <c r="G33" s="46">
        <f t="shared" si="1"/>
        <v>3600</v>
      </c>
      <c r="H33" s="37"/>
      <c r="I33" s="29"/>
      <c r="N33" s="31"/>
      <c r="O33" s="37"/>
      <c r="P33" s="37"/>
      <c r="Q33" s="37"/>
      <c r="R33" s="42"/>
      <c r="S33" s="37"/>
      <c r="T33" s="37"/>
      <c r="U33" s="1"/>
      <c r="V33" s="29"/>
    </row>
    <row r="34">
      <c r="A34" s="31">
        <v>31.0</v>
      </c>
      <c r="B34" s="37"/>
      <c r="C34" s="37"/>
      <c r="D34" s="37"/>
      <c r="E34" s="42">
        <v>3600.0</v>
      </c>
      <c r="F34" s="37"/>
      <c r="G34" s="46">
        <f t="shared" si="1"/>
        <v>3600</v>
      </c>
      <c r="H34" s="37"/>
      <c r="I34" s="29"/>
      <c r="N34" s="31"/>
      <c r="O34" s="37"/>
      <c r="P34" s="37"/>
      <c r="Q34" s="37"/>
      <c r="R34" s="42"/>
      <c r="S34" s="37"/>
      <c r="T34" s="37"/>
      <c r="U34" s="1"/>
      <c r="V34" s="29"/>
    </row>
    <row r="35">
      <c r="A35" s="31">
        <v>32.0</v>
      </c>
      <c r="B35" s="37"/>
      <c r="C35" s="37"/>
      <c r="D35" s="37"/>
      <c r="E35" s="42">
        <v>3600.0</v>
      </c>
      <c r="F35" s="37"/>
      <c r="G35" s="46">
        <f t="shared" si="1"/>
        <v>3600</v>
      </c>
      <c r="H35" s="37"/>
      <c r="I35" s="29"/>
      <c r="N35" s="31"/>
      <c r="O35" s="37"/>
      <c r="P35" s="37"/>
      <c r="Q35" s="37"/>
      <c r="R35" s="42"/>
      <c r="S35" s="37"/>
      <c r="T35" s="37"/>
      <c r="U35" s="25"/>
      <c r="V35" s="29"/>
    </row>
    <row r="36">
      <c r="A36" s="31">
        <v>33.0</v>
      </c>
      <c r="B36" s="37"/>
      <c r="C36" s="37"/>
      <c r="D36" s="37"/>
      <c r="E36" s="42">
        <v>3600.0</v>
      </c>
      <c r="F36" s="37"/>
      <c r="G36" s="46">
        <f t="shared" si="1"/>
        <v>3600</v>
      </c>
      <c r="H36" s="37"/>
      <c r="I36" s="29"/>
      <c r="N36" s="31"/>
      <c r="O36" s="37"/>
      <c r="P36" s="37"/>
      <c r="Q36" s="37"/>
      <c r="R36" s="42"/>
      <c r="S36" s="37"/>
      <c r="T36" s="37"/>
      <c r="U36" s="1"/>
      <c r="V36" s="29"/>
    </row>
    <row r="37">
      <c r="A37" s="31">
        <v>34.0</v>
      </c>
      <c r="B37" s="37"/>
      <c r="C37" s="37"/>
      <c r="D37" s="37"/>
      <c r="E37" s="42">
        <v>3600.0</v>
      </c>
      <c r="F37" s="37"/>
      <c r="G37" s="46">
        <f t="shared" si="1"/>
        <v>3600</v>
      </c>
      <c r="H37" s="37"/>
      <c r="I37" s="29"/>
      <c r="N37" s="31"/>
      <c r="O37" s="37"/>
      <c r="P37" s="37"/>
      <c r="Q37" s="37"/>
      <c r="R37" s="42"/>
      <c r="S37" s="37"/>
      <c r="T37" s="37"/>
      <c r="U37" s="1"/>
      <c r="V37" s="29"/>
    </row>
    <row r="38">
      <c r="A38" s="31">
        <v>35.0</v>
      </c>
      <c r="B38" s="37"/>
      <c r="C38" s="37"/>
      <c r="D38" s="37"/>
      <c r="E38" s="42">
        <v>3600.0</v>
      </c>
      <c r="F38" s="37"/>
      <c r="G38" s="46">
        <f t="shared" si="1"/>
        <v>3600</v>
      </c>
      <c r="H38" s="37"/>
      <c r="I38" s="29"/>
      <c r="N38" s="31"/>
      <c r="O38" s="37"/>
      <c r="P38" s="37"/>
      <c r="Q38" s="37"/>
      <c r="R38" s="42"/>
      <c r="S38" s="37"/>
      <c r="T38" s="37"/>
      <c r="U38" s="1"/>
      <c r="V38" s="29"/>
    </row>
    <row r="39">
      <c r="A39" s="31">
        <v>36.0</v>
      </c>
      <c r="B39" s="37"/>
      <c r="C39" s="37"/>
      <c r="D39" s="37"/>
      <c r="E39" s="42">
        <v>3600.0</v>
      </c>
      <c r="F39" s="37"/>
      <c r="G39" s="46">
        <f t="shared" si="1"/>
        <v>3600</v>
      </c>
      <c r="H39" s="37"/>
      <c r="I39" s="29"/>
      <c r="N39" s="31"/>
      <c r="O39" s="37"/>
      <c r="P39" s="37"/>
      <c r="Q39" s="37"/>
      <c r="R39" s="42"/>
      <c r="S39" s="37"/>
      <c r="T39" s="37"/>
      <c r="U39" s="1"/>
      <c r="V39" s="29"/>
    </row>
    <row r="40">
      <c r="A40" s="31">
        <v>37.0</v>
      </c>
      <c r="B40" s="37"/>
      <c r="C40" s="37"/>
      <c r="D40" s="37"/>
      <c r="E40" s="42">
        <v>3600.0</v>
      </c>
      <c r="F40" s="37"/>
      <c r="G40" s="46">
        <f t="shared" si="1"/>
        <v>3600</v>
      </c>
      <c r="H40" s="37"/>
      <c r="I40" s="29"/>
      <c r="N40" s="31"/>
      <c r="O40" s="37"/>
      <c r="P40" s="37"/>
      <c r="Q40" s="37"/>
      <c r="R40" s="42"/>
      <c r="S40" s="37"/>
      <c r="T40" s="37"/>
      <c r="U40" s="37"/>
      <c r="V40" s="29"/>
    </row>
    <row r="41">
      <c r="A41" s="1" t="s">
        <v>28</v>
      </c>
      <c r="B41" s="40">
        <f>countif(B4:B40,"*")</f>
        <v>5</v>
      </c>
      <c r="C41" s="37"/>
      <c r="D41" s="37"/>
      <c r="E41" s="37"/>
      <c r="F41" s="37"/>
      <c r="G41" s="37"/>
      <c r="H41" s="37"/>
      <c r="I41" s="37"/>
      <c r="J41" s="37"/>
      <c r="K41" s="93"/>
      <c r="L41" s="93"/>
      <c r="M41" s="93"/>
      <c r="N41" s="3"/>
      <c r="O41" s="164"/>
      <c r="P41" s="164"/>
      <c r="Q41" s="164"/>
      <c r="R41" s="164"/>
      <c r="S41" s="164"/>
      <c r="T41" s="164"/>
      <c r="U41" s="1"/>
      <c r="V41" s="8"/>
    </row>
    <row r="42">
      <c r="N42" s="14"/>
      <c r="O42" s="14"/>
      <c r="P42" s="14"/>
      <c r="Q42" s="14"/>
      <c r="R42" s="18"/>
      <c r="S42" s="160"/>
      <c r="T42" s="160"/>
      <c r="U42" s="1"/>
      <c r="V42" s="15"/>
    </row>
    <row r="43">
      <c r="N43" s="15"/>
      <c r="O43" s="15"/>
      <c r="P43" s="15"/>
      <c r="Q43" s="15"/>
      <c r="R43" s="25"/>
      <c r="S43" s="25"/>
      <c r="T43" s="25"/>
      <c r="U43" s="25"/>
      <c r="V43" s="29"/>
    </row>
    <row r="44">
      <c r="N44" s="31"/>
      <c r="O44" s="32"/>
      <c r="P44" s="34"/>
      <c r="Q44" s="1"/>
      <c r="R44" s="42"/>
      <c r="S44" s="1"/>
      <c r="T44" s="37"/>
      <c r="U44" s="1"/>
      <c r="V44" s="48"/>
    </row>
    <row r="45">
      <c r="N45" s="31"/>
      <c r="O45" s="1"/>
      <c r="P45" s="37"/>
      <c r="Q45" s="1"/>
      <c r="R45" s="42"/>
      <c r="S45" s="1"/>
      <c r="T45" s="37"/>
      <c r="U45" s="1"/>
      <c r="V45" s="48"/>
    </row>
    <row r="46">
      <c r="N46" s="31"/>
      <c r="O46" s="1"/>
      <c r="P46" s="37"/>
      <c r="Q46" s="1"/>
      <c r="R46" s="42"/>
      <c r="S46" s="1"/>
      <c r="T46" s="37"/>
      <c r="U46" s="1"/>
      <c r="V46" s="29"/>
    </row>
    <row r="47">
      <c r="N47" s="31"/>
      <c r="O47" s="1"/>
      <c r="P47" s="37"/>
      <c r="Q47" s="1"/>
      <c r="R47" s="42"/>
      <c r="S47" s="1"/>
      <c r="T47" s="37"/>
      <c r="U47" s="1"/>
      <c r="V47" s="48"/>
    </row>
    <row r="48">
      <c r="N48" s="31"/>
      <c r="O48" s="1"/>
      <c r="P48" s="37"/>
      <c r="Q48" s="1"/>
      <c r="R48" s="42"/>
      <c r="S48" s="1"/>
      <c r="T48" s="37"/>
      <c r="U48" s="37"/>
      <c r="V48" s="48"/>
    </row>
    <row r="49">
      <c r="N49" s="31"/>
      <c r="O49" s="1"/>
      <c r="P49" s="37"/>
      <c r="Q49" s="1"/>
      <c r="R49" s="42"/>
      <c r="S49" s="1"/>
      <c r="T49" s="37"/>
      <c r="U49" s="1"/>
      <c r="V49" s="48"/>
    </row>
    <row r="50">
      <c r="N50" s="31"/>
      <c r="O50" s="37"/>
      <c r="P50" s="37"/>
      <c r="Q50" s="37"/>
      <c r="R50" s="42"/>
      <c r="S50" s="37"/>
      <c r="T50" s="37"/>
      <c r="U50" s="1"/>
      <c r="V50" s="29"/>
    </row>
    <row r="51">
      <c r="N51" s="31"/>
      <c r="O51" s="37"/>
      <c r="P51" s="37"/>
      <c r="Q51" s="37"/>
      <c r="R51" s="42"/>
      <c r="S51" s="37"/>
      <c r="T51" s="37"/>
      <c r="U51" s="25"/>
      <c r="V51" s="29"/>
    </row>
    <row r="52">
      <c r="N52" s="31"/>
      <c r="O52" s="37"/>
      <c r="P52" s="37"/>
      <c r="Q52" s="37"/>
      <c r="R52" s="42"/>
      <c r="S52" s="37"/>
      <c r="T52" s="37"/>
      <c r="U52" s="1"/>
      <c r="V52" s="29"/>
    </row>
    <row r="53">
      <c r="N53" s="31"/>
      <c r="O53" s="37"/>
      <c r="P53" s="37"/>
      <c r="Q53" s="37"/>
      <c r="R53" s="42"/>
      <c r="S53" s="37"/>
      <c r="T53" s="37"/>
      <c r="U53" s="1"/>
      <c r="V53" s="29"/>
    </row>
    <row r="54">
      <c r="N54" s="31"/>
      <c r="O54" s="37"/>
      <c r="P54" s="37"/>
      <c r="Q54" s="37"/>
      <c r="R54" s="42"/>
      <c r="S54" s="37"/>
      <c r="T54" s="37"/>
      <c r="U54" s="1"/>
      <c r="V54" s="29"/>
    </row>
    <row r="55">
      <c r="N55" s="31"/>
      <c r="O55" s="37"/>
      <c r="P55" s="37"/>
      <c r="Q55" s="37"/>
      <c r="R55" s="42"/>
      <c r="S55" s="37"/>
      <c r="T55" s="37"/>
      <c r="U55" s="1"/>
      <c r="V55" s="29"/>
    </row>
    <row r="56">
      <c r="N56" s="31"/>
      <c r="O56" s="37"/>
      <c r="P56" s="37"/>
      <c r="Q56" s="37"/>
      <c r="R56" s="42"/>
      <c r="S56" s="37"/>
      <c r="T56" s="37"/>
      <c r="U56" s="37"/>
      <c r="V56" s="29"/>
    </row>
    <row r="57">
      <c r="N57" s="31"/>
      <c r="O57" s="37"/>
      <c r="P57" s="37"/>
      <c r="Q57" s="37"/>
      <c r="R57" s="42"/>
      <c r="S57" s="37"/>
      <c r="T57" s="37"/>
      <c r="U57" s="1"/>
      <c r="V57" s="29"/>
    </row>
    <row r="58">
      <c r="N58" s="31"/>
      <c r="O58" s="37"/>
      <c r="P58" s="37"/>
      <c r="Q58" s="37"/>
      <c r="R58" s="42"/>
      <c r="S58" s="37"/>
      <c r="T58" s="37"/>
      <c r="U58" s="1"/>
      <c r="V58" s="29"/>
    </row>
    <row r="59">
      <c r="N59" s="31"/>
      <c r="O59" s="37"/>
      <c r="P59" s="37"/>
      <c r="Q59" s="37"/>
      <c r="R59" s="42"/>
      <c r="S59" s="37"/>
      <c r="T59" s="37"/>
      <c r="U59" s="25"/>
      <c r="V59" s="29"/>
    </row>
    <row r="60">
      <c r="N60" s="31"/>
      <c r="O60" s="37"/>
      <c r="P60" s="37"/>
      <c r="Q60" s="37"/>
      <c r="R60" s="42"/>
      <c r="S60" s="37"/>
      <c r="T60" s="37"/>
      <c r="U60" s="1"/>
      <c r="V60" s="29"/>
    </row>
    <row r="61">
      <c r="N61" s="3"/>
      <c r="O61" s="164"/>
      <c r="P61" s="164"/>
      <c r="Q61" s="164"/>
      <c r="R61" s="164"/>
      <c r="S61" s="164"/>
      <c r="T61" s="164"/>
      <c r="U61" s="1"/>
      <c r="V61" s="8"/>
    </row>
    <row r="62">
      <c r="N62" s="14"/>
      <c r="O62" s="14"/>
      <c r="P62" s="14"/>
      <c r="Q62" s="14"/>
      <c r="R62" s="18"/>
      <c r="S62" s="160"/>
      <c r="T62" s="160"/>
      <c r="U62" s="1"/>
      <c r="V62" s="15"/>
    </row>
    <row r="63">
      <c r="N63" s="15"/>
      <c r="O63" s="15"/>
      <c r="P63" s="15"/>
      <c r="Q63" s="15"/>
      <c r="R63" s="25"/>
      <c r="S63" s="25"/>
      <c r="T63" s="25"/>
      <c r="U63" s="1"/>
      <c r="V63" s="29"/>
    </row>
    <row r="64">
      <c r="N64" s="31"/>
      <c r="O64" s="32"/>
      <c r="P64" s="34"/>
      <c r="Q64" s="1"/>
      <c r="R64" s="42"/>
      <c r="S64" s="1"/>
      <c r="T64" s="37"/>
      <c r="U64" s="37"/>
      <c r="V64" s="48"/>
    </row>
    <row r="65">
      <c r="N65" s="31"/>
      <c r="O65" s="1"/>
      <c r="P65" s="37"/>
      <c r="Q65" s="1"/>
      <c r="R65" s="42"/>
      <c r="S65" s="1"/>
      <c r="T65" s="37"/>
      <c r="U65" s="1"/>
      <c r="V65" s="48"/>
    </row>
    <row r="66">
      <c r="N66" s="31"/>
      <c r="O66" s="1"/>
      <c r="P66" s="37"/>
      <c r="Q66" s="1"/>
      <c r="R66" s="42"/>
      <c r="S66" s="1"/>
      <c r="T66" s="37"/>
      <c r="U66" s="1"/>
      <c r="V66" s="29"/>
    </row>
    <row r="67">
      <c r="N67" s="31"/>
      <c r="O67" s="1"/>
      <c r="P67" s="37"/>
      <c r="Q67" s="1"/>
      <c r="R67" s="42"/>
      <c r="S67" s="1"/>
      <c r="T67" s="37"/>
      <c r="U67" s="25"/>
      <c r="V67" s="48"/>
    </row>
    <row r="68">
      <c r="N68" s="31"/>
      <c r="O68" s="1"/>
      <c r="P68" s="37"/>
      <c r="Q68" s="1"/>
      <c r="R68" s="42"/>
      <c r="S68" s="1"/>
      <c r="T68" s="37"/>
      <c r="U68" s="1"/>
      <c r="V68" s="48"/>
    </row>
    <row r="69">
      <c r="N69" s="31"/>
      <c r="O69" s="1"/>
      <c r="P69" s="37"/>
      <c r="Q69" s="1"/>
      <c r="R69" s="42"/>
      <c r="S69" s="1"/>
      <c r="T69" s="37"/>
      <c r="U69" s="1"/>
      <c r="V69" s="48"/>
    </row>
    <row r="70">
      <c r="N70" s="31"/>
      <c r="O70" s="37"/>
      <c r="P70" s="37"/>
      <c r="Q70" s="37"/>
      <c r="R70" s="42"/>
      <c r="S70" s="37"/>
      <c r="T70" s="37"/>
      <c r="U70" s="1"/>
      <c r="V70" s="29"/>
    </row>
    <row r="71">
      <c r="N71" s="31"/>
      <c r="O71" s="37"/>
      <c r="P71" s="37"/>
      <c r="Q71" s="37"/>
      <c r="R71" s="42"/>
      <c r="S71" s="37"/>
      <c r="T71" s="37"/>
      <c r="U71" s="1"/>
      <c r="V71" s="29"/>
    </row>
    <row r="72">
      <c r="N72" s="31"/>
      <c r="O72" s="37"/>
      <c r="P72" s="37"/>
      <c r="Q72" s="37"/>
      <c r="R72" s="42"/>
      <c r="S72" s="37"/>
      <c r="T72" s="37"/>
      <c r="U72" s="37"/>
      <c r="V72" s="29"/>
    </row>
    <row r="73">
      <c r="N73" s="31"/>
      <c r="O73" s="37"/>
      <c r="P73" s="37"/>
      <c r="Q73" s="37"/>
      <c r="R73" s="42"/>
      <c r="S73" s="37"/>
      <c r="T73" s="37"/>
      <c r="U73" s="1"/>
      <c r="V73" s="29"/>
    </row>
    <row r="74">
      <c r="N74" s="31"/>
      <c r="O74" s="37"/>
      <c r="P74" s="37"/>
      <c r="Q74" s="37"/>
      <c r="R74" s="42"/>
      <c r="S74" s="37"/>
      <c r="T74" s="37"/>
      <c r="U74" s="1"/>
      <c r="V74" s="29"/>
    </row>
    <row r="75">
      <c r="N75" s="31"/>
      <c r="O75" s="37"/>
      <c r="P75" s="37"/>
      <c r="Q75" s="37"/>
      <c r="R75" s="42"/>
      <c r="S75" s="37"/>
      <c r="T75" s="37"/>
      <c r="U75" s="25"/>
      <c r="V75" s="29"/>
    </row>
    <row r="76">
      <c r="N76" s="31"/>
      <c r="O76" s="37"/>
      <c r="P76" s="37"/>
      <c r="Q76" s="37"/>
      <c r="R76" s="42"/>
      <c r="S76" s="37"/>
      <c r="T76" s="37"/>
      <c r="U76" s="1"/>
      <c r="V76" s="29"/>
    </row>
    <row r="77">
      <c r="N77" s="31"/>
      <c r="O77" s="37"/>
      <c r="P77" s="37"/>
      <c r="Q77" s="37"/>
      <c r="R77" s="42"/>
      <c r="S77" s="37"/>
      <c r="T77" s="37"/>
      <c r="U77" s="1"/>
      <c r="V77" s="29"/>
    </row>
    <row r="78">
      <c r="N78" s="31"/>
      <c r="O78" s="37"/>
      <c r="P78" s="37"/>
      <c r="Q78" s="37"/>
      <c r="R78" s="42"/>
      <c r="S78" s="37"/>
      <c r="T78" s="37"/>
      <c r="U78" s="1"/>
      <c r="V78" s="29"/>
    </row>
    <row r="79">
      <c r="N79" s="31"/>
      <c r="O79" s="37"/>
      <c r="P79" s="37"/>
      <c r="Q79" s="37"/>
      <c r="R79" s="42"/>
      <c r="S79" s="37"/>
      <c r="T79" s="37"/>
      <c r="U79" s="1"/>
      <c r="V79" s="29"/>
    </row>
    <row r="80">
      <c r="N80" s="31"/>
      <c r="O80" s="37"/>
      <c r="P80" s="37"/>
      <c r="Q80" s="37"/>
      <c r="R80" s="42"/>
      <c r="S80" s="37"/>
      <c r="T80" s="37"/>
      <c r="U80" s="37"/>
      <c r="V80" s="29"/>
    </row>
    <row r="81">
      <c r="N81" s="3"/>
      <c r="O81" s="164"/>
      <c r="P81" s="164"/>
      <c r="Q81" s="164"/>
      <c r="R81" s="164"/>
      <c r="S81" s="164"/>
      <c r="T81" s="164"/>
      <c r="U81" s="1"/>
      <c r="V81" s="8"/>
    </row>
    <row r="82">
      <c r="N82" s="14"/>
      <c r="O82" s="14"/>
      <c r="P82" s="14"/>
      <c r="Q82" s="14"/>
      <c r="R82" s="18"/>
      <c r="S82" s="160"/>
      <c r="T82" s="160"/>
      <c r="U82" s="1"/>
      <c r="V82" s="15"/>
    </row>
    <row r="83">
      <c r="N83" s="15"/>
      <c r="O83" s="15"/>
      <c r="P83" s="15"/>
      <c r="Q83" s="15"/>
      <c r="R83" s="25"/>
      <c r="S83" s="25"/>
      <c r="T83" s="25"/>
      <c r="U83" s="25"/>
      <c r="V83" s="29"/>
    </row>
    <row r="84">
      <c r="N84" s="31"/>
      <c r="O84" s="32"/>
      <c r="P84" s="34"/>
      <c r="Q84" s="1"/>
      <c r="R84" s="42"/>
      <c r="S84" s="1"/>
      <c r="T84" s="37"/>
      <c r="U84" s="1"/>
      <c r="V84" s="48"/>
    </row>
    <row r="85">
      <c r="N85" s="31"/>
      <c r="O85" s="1"/>
      <c r="P85" s="37"/>
      <c r="Q85" s="1"/>
      <c r="R85" s="42"/>
      <c r="S85" s="1"/>
      <c r="T85" s="37"/>
      <c r="U85" s="1"/>
      <c r="V85" s="48"/>
    </row>
    <row r="86">
      <c r="N86" s="31"/>
      <c r="O86" s="1"/>
      <c r="P86" s="37"/>
      <c r="Q86" s="1"/>
      <c r="R86" s="42"/>
      <c r="S86" s="1"/>
      <c r="T86" s="37"/>
      <c r="U86" s="1"/>
      <c r="V86" s="29"/>
    </row>
    <row r="87">
      <c r="N87" s="31"/>
      <c r="O87" s="1"/>
      <c r="P87" s="37"/>
      <c r="Q87" s="1"/>
      <c r="R87" s="42"/>
      <c r="S87" s="1"/>
      <c r="T87" s="37"/>
      <c r="U87" s="1"/>
      <c r="V87" s="48"/>
    </row>
    <row r="88">
      <c r="N88" s="31"/>
      <c r="O88" s="1"/>
      <c r="P88" s="37"/>
      <c r="Q88" s="1"/>
      <c r="R88" s="42"/>
      <c r="S88" s="1"/>
      <c r="T88" s="37"/>
      <c r="U88" s="37"/>
      <c r="V88" s="48"/>
    </row>
    <row r="89">
      <c r="N89" s="31"/>
      <c r="O89" s="1"/>
      <c r="P89" s="37"/>
      <c r="Q89" s="1"/>
      <c r="R89" s="42"/>
      <c r="S89" s="1"/>
      <c r="T89" s="37"/>
      <c r="U89" s="1"/>
      <c r="V89" s="48"/>
    </row>
    <row r="90">
      <c r="N90" s="31"/>
      <c r="O90" s="37"/>
      <c r="P90" s="37"/>
      <c r="Q90" s="37"/>
      <c r="R90" s="42"/>
      <c r="S90" s="37"/>
      <c r="T90" s="37"/>
      <c r="U90" s="1"/>
      <c r="V90" s="29"/>
    </row>
    <row r="91">
      <c r="N91" s="31"/>
      <c r="O91" s="37"/>
      <c r="P91" s="37"/>
      <c r="Q91" s="37"/>
      <c r="R91" s="42"/>
      <c r="S91" s="37"/>
      <c r="T91" s="37"/>
      <c r="U91" s="25"/>
      <c r="V91" s="29"/>
    </row>
    <row r="92">
      <c r="N92" s="31"/>
      <c r="O92" s="37"/>
      <c r="P92" s="37"/>
      <c r="Q92" s="37"/>
      <c r="R92" s="42"/>
      <c r="S92" s="37"/>
      <c r="T92" s="37"/>
      <c r="U92" s="1"/>
      <c r="V92" s="29"/>
    </row>
    <row r="93">
      <c r="N93" s="31"/>
      <c r="O93" s="37"/>
      <c r="P93" s="37"/>
      <c r="Q93" s="37"/>
      <c r="R93" s="42"/>
      <c r="S93" s="37"/>
      <c r="T93" s="37"/>
      <c r="U93" s="1"/>
      <c r="V93" s="29"/>
    </row>
    <row r="94">
      <c r="N94" s="31"/>
      <c r="O94" s="37"/>
      <c r="P94" s="37"/>
      <c r="Q94" s="37"/>
      <c r="R94" s="42"/>
      <c r="S94" s="37"/>
      <c r="T94" s="37"/>
      <c r="U94" s="1"/>
      <c r="V94" s="29"/>
    </row>
    <row r="95">
      <c r="N95" s="31"/>
      <c r="O95" s="37"/>
      <c r="P95" s="37"/>
      <c r="Q95" s="37"/>
      <c r="R95" s="42"/>
      <c r="S95" s="37"/>
      <c r="T95" s="37"/>
      <c r="U95" s="1"/>
      <c r="V95" s="29"/>
    </row>
    <row r="96">
      <c r="N96" s="31"/>
      <c r="O96" s="37"/>
      <c r="P96" s="37"/>
      <c r="Q96" s="37"/>
      <c r="R96" s="42"/>
      <c r="S96" s="37"/>
      <c r="T96" s="37"/>
      <c r="U96" s="37"/>
      <c r="V96" s="29"/>
    </row>
    <row r="97">
      <c r="N97" s="31"/>
      <c r="O97" s="37"/>
      <c r="P97" s="37"/>
      <c r="Q97" s="37"/>
      <c r="R97" s="42"/>
      <c r="S97" s="37"/>
      <c r="T97" s="37"/>
      <c r="U97" s="1"/>
      <c r="V97" s="29"/>
    </row>
    <row r="98">
      <c r="N98" s="31"/>
      <c r="O98" s="37"/>
      <c r="P98" s="37"/>
      <c r="Q98" s="37"/>
      <c r="R98" s="42"/>
      <c r="S98" s="37"/>
      <c r="T98" s="37"/>
      <c r="U98" s="1"/>
      <c r="V98" s="29"/>
    </row>
    <row r="99">
      <c r="N99" s="31"/>
      <c r="O99" s="37"/>
      <c r="P99" s="37"/>
      <c r="Q99" s="37"/>
      <c r="R99" s="42"/>
      <c r="S99" s="37"/>
      <c r="T99" s="37"/>
      <c r="U99" s="25"/>
      <c r="V99" s="29"/>
    </row>
    <row r="100">
      <c r="N100" s="31"/>
      <c r="O100" s="37"/>
      <c r="P100" s="37"/>
      <c r="Q100" s="37"/>
      <c r="R100" s="42"/>
      <c r="S100" s="37"/>
      <c r="T100" s="37"/>
      <c r="U100" s="1"/>
      <c r="V100" s="29"/>
    </row>
    <row r="101">
      <c r="N101" s="3"/>
      <c r="O101" s="164"/>
      <c r="P101" s="164"/>
      <c r="Q101" s="164"/>
      <c r="R101" s="164"/>
      <c r="S101" s="164"/>
      <c r="T101" s="164"/>
      <c r="U101" s="1"/>
      <c r="V101" s="8"/>
    </row>
    <row r="102">
      <c r="N102" s="14"/>
      <c r="O102" s="14"/>
      <c r="P102" s="14"/>
      <c r="Q102" s="14"/>
      <c r="R102" s="18"/>
      <c r="S102" s="160"/>
      <c r="T102" s="160"/>
      <c r="U102" s="1"/>
      <c r="V102" s="15"/>
    </row>
    <row r="103">
      <c r="N103" s="15"/>
      <c r="O103" s="15"/>
      <c r="P103" s="15"/>
      <c r="Q103" s="15"/>
      <c r="R103" s="25"/>
      <c r="S103" s="25"/>
      <c r="T103" s="25"/>
      <c r="U103" s="1"/>
      <c r="V103" s="29"/>
    </row>
    <row r="104">
      <c r="N104" s="31"/>
      <c r="O104" s="32"/>
      <c r="P104" s="34"/>
      <c r="Q104" s="1"/>
      <c r="R104" s="42"/>
      <c r="S104" s="1"/>
      <c r="T104" s="37"/>
      <c r="U104" s="37"/>
      <c r="V104" s="48"/>
    </row>
    <row r="105">
      <c r="N105" s="31"/>
      <c r="O105" s="1"/>
      <c r="P105" s="37"/>
      <c r="Q105" s="1"/>
      <c r="R105" s="42"/>
      <c r="S105" s="1"/>
      <c r="T105" s="37"/>
      <c r="U105" s="1"/>
      <c r="V105" s="48"/>
    </row>
    <row r="106">
      <c r="N106" s="31"/>
      <c r="O106" s="1"/>
      <c r="P106" s="37"/>
      <c r="Q106" s="1"/>
      <c r="R106" s="42"/>
      <c r="S106" s="1"/>
      <c r="T106" s="37"/>
      <c r="U106" s="1"/>
      <c r="V106" s="29"/>
    </row>
    <row r="107">
      <c r="N107" s="31"/>
      <c r="O107" s="1"/>
      <c r="P107" s="37"/>
      <c r="Q107" s="1"/>
      <c r="R107" s="42"/>
      <c r="S107" s="1"/>
      <c r="T107" s="37"/>
      <c r="U107" s="25"/>
      <c r="V107" s="48"/>
    </row>
    <row r="108">
      <c r="N108" s="31"/>
      <c r="O108" s="1"/>
      <c r="P108" s="37"/>
      <c r="Q108" s="1"/>
      <c r="R108" s="42"/>
      <c r="S108" s="1"/>
      <c r="T108" s="37"/>
      <c r="U108" s="1"/>
      <c r="V108" s="48"/>
    </row>
    <row r="109">
      <c r="N109" s="31"/>
      <c r="O109" s="1"/>
      <c r="P109" s="37"/>
      <c r="Q109" s="1"/>
      <c r="R109" s="42"/>
      <c r="S109" s="1"/>
      <c r="T109" s="37"/>
      <c r="U109" s="1"/>
      <c r="V109" s="48"/>
    </row>
    <row r="110">
      <c r="N110" s="31"/>
      <c r="O110" s="37"/>
      <c r="P110" s="37"/>
      <c r="Q110" s="37"/>
      <c r="R110" s="42"/>
      <c r="S110" s="37"/>
      <c r="T110" s="37"/>
      <c r="U110" s="1"/>
      <c r="V110" s="29"/>
    </row>
    <row r="111">
      <c r="N111" s="31"/>
      <c r="O111" s="37"/>
      <c r="P111" s="37"/>
      <c r="Q111" s="37"/>
      <c r="R111" s="42"/>
      <c r="S111" s="37"/>
      <c r="T111" s="37"/>
      <c r="U111" s="1"/>
      <c r="V111" s="29"/>
    </row>
    <row r="112">
      <c r="N112" s="31"/>
      <c r="O112" s="37"/>
      <c r="P112" s="37"/>
      <c r="Q112" s="37"/>
      <c r="R112" s="42"/>
      <c r="S112" s="37"/>
      <c r="T112" s="37"/>
      <c r="U112" s="37"/>
      <c r="V112" s="29"/>
    </row>
    <row r="113">
      <c r="N113" s="31"/>
      <c r="O113" s="37"/>
      <c r="P113" s="37"/>
      <c r="Q113" s="37"/>
      <c r="R113" s="42"/>
      <c r="S113" s="37"/>
      <c r="T113" s="37"/>
      <c r="U113" s="1"/>
      <c r="V113" s="29"/>
    </row>
    <row r="114">
      <c r="N114" s="31"/>
      <c r="O114" s="37"/>
      <c r="P114" s="37"/>
      <c r="Q114" s="37"/>
      <c r="R114" s="42"/>
      <c r="S114" s="37"/>
      <c r="T114" s="37"/>
      <c r="U114" s="1"/>
      <c r="V114" s="29"/>
    </row>
    <row r="115">
      <c r="N115" s="31"/>
      <c r="O115" s="37"/>
      <c r="P115" s="37"/>
      <c r="Q115" s="37"/>
      <c r="R115" s="42"/>
      <c r="S115" s="37"/>
      <c r="T115" s="37"/>
      <c r="U115" s="25"/>
      <c r="V115" s="29"/>
    </row>
    <row r="116">
      <c r="N116" s="31"/>
      <c r="O116" s="37"/>
      <c r="P116" s="37"/>
      <c r="Q116" s="37"/>
      <c r="R116" s="42"/>
      <c r="S116" s="37"/>
      <c r="T116" s="37"/>
      <c r="U116" s="1"/>
      <c r="V116" s="29"/>
    </row>
    <row r="117">
      <c r="N117" s="31"/>
      <c r="O117" s="37"/>
      <c r="P117" s="37"/>
      <c r="Q117" s="37"/>
      <c r="R117" s="42"/>
      <c r="S117" s="37"/>
      <c r="T117" s="37"/>
      <c r="U117" s="1"/>
      <c r="V117" s="29"/>
    </row>
    <row r="118">
      <c r="N118" s="31"/>
      <c r="O118" s="37"/>
      <c r="P118" s="37"/>
      <c r="Q118" s="37"/>
      <c r="R118" s="42"/>
      <c r="S118" s="37"/>
      <c r="T118" s="37"/>
      <c r="U118" s="1"/>
      <c r="V118" s="29"/>
    </row>
    <row r="119">
      <c r="N119" s="31"/>
      <c r="O119" s="37"/>
      <c r="P119" s="37"/>
      <c r="Q119" s="37"/>
      <c r="R119" s="42"/>
      <c r="S119" s="37"/>
      <c r="T119" s="37"/>
      <c r="U119" s="1"/>
      <c r="V119" s="29"/>
    </row>
    <row r="120">
      <c r="N120" s="31"/>
      <c r="O120" s="37"/>
      <c r="P120" s="37"/>
      <c r="Q120" s="37"/>
      <c r="R120" s="42"/>
      <c r="S120" s="37"/>
      <c r="T120" s="37"/>
      <c r="U120" s="37"/>
      <c r="V120" s="29"/>
    </row>
    <row r="121">
      <c r="N121" s="3"/>
      <c r="O121" s="164"/>
      <c r="P121" s="164"/>
      <c r="Q121" s="164"/>
      <c r="R121" s="164"/>
      <c r="S121" s="164"/>
      <c r="T121" s="164"/>
      <c r="U121" s="1"/>
      <c r="V121" s="8"/>
    </row>
    <row r="122">
      <c r="N122" s="14"/>
      <c r="O122" s="14"/>
      <c r="P122" s="14"/>
      <c r="Q122" s="14"/>
      <c r="R122" s="18"/>
      <c r="S122" s="160"/>
      <c r="T122" s="160"/>
      <c r="U122" s="1"/>
      <c r="V122" s="15"/>
    </row>
    <row r="123">
      <c r="N123" s="15"/>
      <c r="O123" s="15"/>
      <c r="P123" s="15"/>
      <c r="Q123" s="15"/>
      <c r="R123" s="25"/>
      <c r="S123" s="25"/>
      <c r="T123" s="25"/>
      <c r="U123" s="25"/>
      <c r="V123" s="29"/>
    </row>
    <row r="124">
      <c r="N124" s="31"/>
      <c r="O124" s="32"/>
      <c r="P124" s="34"/>
      <c r="Q124" s="1"/>
      <c r="R124" s="42"/>
      <c r="S124" s="1"/>
      <c r="T124" s="37"/>
      <c r="U124" s="1"/>
      <c r="V124" s="48"/>
    </row>
    <row r="125">
      <c r="N125" s="31"/>
      <c r="O125" s="1"/>
      <c r="P125" s="37"/>
      <c r="Q125" s="1"/>
      <c r="R125" s="42"/>
      <c r="S125" s="1"/>
      <c r="T125" s="37"/>
      <c r="U125" s="1"/>
      <c r="V125" s="48"/>
    </row>
    <row r="126">
      <c r="N126" s="31"/>
      <c r="O126" s="1"/>
      <c r="P126" s="37"/>
      <c r="Q126" s="1"/>
      <c r="R126" s="42"/>
      <c r="S126" s="1"/>
      <c r="T126" s="37"/>
      <c r="U126" s="1"/>
      <c r="V126" s="29"/>
    </row>
    <row r="127">
      <c r="N127" s="31"/>
      <c r="O127" s="1"/>
      <c r="P127" s="37"/>
      <c r="Q127" s="1"/>
      <c r="R127" s="42"/>
      <c r="S127" s="1"/>
      <c r="T127" s="37"/>
      <c r="U127" s="1"/>
      <c r="V127" s="48"/>
    </row>
    <row r="128">
      <c r="N128" s="31"/>
      <c r="O128" s="1"/>
      <c r="P128" s="37"/>
      <c r="Q128" s="1"/>
      <c r="R128" s="42"/>
      <c r="S128" s="1"/>
      <c r="T128" s="37"/>
      <c r="U128" s="37"/>
      <c r="V128" s="48"/>
    </row>
    <row r="129">
      <c r="N129" s="31"/>
      <c r="O129" s="1"/>
      <c r="P129" s="37"/>
      <c r="Q129" s="1"/>
      <c r="R129" s="42"/>
      <c r="S129" s="1"/>
      <c r="T129" s="37"/>
      <c r="U129" s="1"/>
      <c r="V129" s="48"/>
    </row>
    <row r="130">
      <c r="N130" s="31"/>
      <c r="O130" s="37"/>
      <c r="P130" s="37"/>
      <c r="Q130" s="37"/>
      <c r="R130" s="42"/>
      <c r="S130" s="37"/>
      <c r="T130" s="37"/>
      <c r="U130" s="1"/>
      <c r="V130" s="29"/>
    </row>
    <row r="131">
      <c r="N131" s="31"/>
      <c r="O131" s="37"/>
      <c r="P131" s="37"/>
      <c r="Q131" s="37"/>
      <c r="R131" s="42"/>
      <c r="S131" s="37"/>
      <c r="T131" s="37"/>
      <c r="U131" s="25"/>
      <c r="V131" s="29"/>
    </row>
    <row r="132">
      <c r="N132" s="31"/>
      <c r="O132" s="37"/>
      <c r="P132" s="37"/>
      <c r="Q132" s="37"/>
      <c r="R132" s="42"/>
      <c r="S132" s="37"/>
      <c r="T132" s="37"/>
      <c r="U132" s="1"/>
      <c r="V132" s="29"/>
    </row>
    <row r="133">
      <c r="N133" s="31"/>
      <c r="O133" s="37"/>
      <c r="P133" s="37"/>
      <c r="Q133" s="37"/>
      <c r="R133" s="42"/>
      <c r="S133" s="37"/>
      <c r="T133" s="37"/>
      <c r="U133" s="1"/>
      <c r="V133" s="29"/>
    </row>
    <row r="134">
      <c r="N134" s="31"/>
      <c r="O134" s="37"/>
      <c r="P134" s="37"/>
      <c r="Q134" s="37"/>
      <c r="R134" s="42"/>
      <c r="S134" s="37"/>
      <c r="T134" s="37"/>
      <c r="U134" s="1"/>
      <c r="V134" s="29"/>
    </row>
    <row r="135">
      <c r="N135" s="31"/>
      <c r="O135" s="37"/>
      <c r="P135" s="37"/>
      <c r="Q135" s="37"/>
      <c r="R135" s="42"/>
      <c r="S135" s="37"/>
      <c r="T135" s="37"/>
      <c r="U135" s="1"/>
      <c r="V135" s="29"/>
    </row>
    <row r="136">
      <c r="N136" s="31"/>
      <c r="O136" s="37"/>
      <c r="P136" s="37"/>
      <c r="Q136" s="37"/>
      <c r="R136" s="42"/>
      <c r="S136" s="37"/>
      <c r="T136" s="37"/>
      <c r="U136" s="37"/>
      <c r="V136" s="29"/>
    </row>
    <row r="137">
      <c r="N137" s="31"/>
      <c r="O137" s="37"/>
      <c r="P137" s="37"/>
      <c r="Q137" s="37"/>
      <c r="R137" s="42"/>
      <c r="S137" s="37"/>
      <c r="T137" s="37"/>
      <c r="U137" s="1"/>
      <c r="V137" s="29"/>
    </row>
    <row r="138">
      <c r="N138" s="31"/>
      <c r="O138" s="37"/>
      <c r="P138" s="37"/>
      <c r="Q138" s="37"/>
      <c r="R138" s="42"/>
      <c r="S138" s="37"/>
      <c r="T138" s="37"/>
      <c r="U138" s="1"/>
      <c r="V138" s="29"/>
    </row>
    <row r="139">
      <c r="N139" s="31"/>
      <c r="O139" s="37"/>
      <c r="P139" s="37"/>
      <c r="Q139" s="37"/>
      <c r="R139" s="42"/>
      <c r="S139" s="37"/>
      <c r="T139" s="37"/>
      <c r="U139" s="25"/>
      <c r="V139" s="29"/>
    </row>
    <row r="140">
      <c r="N140" s="31"/>
      <c r="O140" s="37"/>
      <c r="P140" s="37"/>
      <c r="Q140" s="37"/>
      <c r="R140" s="42"/>
      <c r="S140" s="37"/>
      <c r="T140" s="37"/>
      <c r="U140" s="1"/>
      <c r="V140" s="29"/>
    </row>
    <row r="141">
      <c r="N141" s="3"/>
      <c r="O141" s="164"/>
      <c r="P141" s="164"/>
      <c r="Q141" s="164"/>
      <c r="R141" s="164"/>
      <c r="S141" s="164"/>
      <c r="T141" s="164"/>
      <c r="U141" s="1"/>
      <c r="V141" s="8"/>
    </row>
    <row r="142">
      <c r="N142" s="14"/>
      <c r="O142" s="14"/>
      <c r="P142" s="14"/>
      <c r="Q142" s="14"/>
      <c r="R142" s="18"/>
      <c r="S142" s="160"/>
      <c r="T142" s="160"/>
      <c r="U142" s="1"/>
      <c r="V142" s="15"/>
    </row>
    <row r="143">
      <c r="N143" s="15"/>
      <c r="O143" s="15"/>
      <c r="P143" s="15"/>
      <c r="Q143" s="15"/>
      <c r="R143" s="25"/>
      <c r="S143" s="25"/>
      <c r="T143" s="25"/>
      <c r="U143" s="1"/>
      <c r="V143" s="29"/>
    </row>
    <row r="144">
      <c r="N144" s="31"/>
      <c r="O144" s="32"/>
      <c r="P144" s="34"/>
      <c r="Q144" s="1"/>
      <c r="R144" s="42"/>
      <c r="S144" s="1"/>
      <c r="T144" s="37"/>
      <c r="U144" s="37"/>
      <c r="V144" s="48"/>
    </row>
    <row r="145">
      <c r="N145" s="31"/>
      <c r="O145" s="1"/>
      <c r="P145" s="37"/>
      <c r="Q145" s="1"/>
      <c r="R145" s="42"/>
      <c r="S145" s="1"/>
      <c r="T145" s="37"/>
      <c r="U145" s="1"/>
      <c r="V145" s="48"/>
    </row>
    <row r="146">
      <c r="N146" s="31"/>
      <c r="O146" s="1"/>
      <c r="P146" s="37"/>
      <c r="Q146" s="1"/>
      <c r="R146" s="42"/>
      <c r="S146" s="1"/>
      <c r="T146" s="37"/>
      <c r="U146" s="1"/>
      <c r="V146" s="29"/>
    </row>
    <row r="147">
      <c r="N147" s="31"/>
      <c r="O147" s="1"/>
      <c r="P147" s="37"/>
      <c r="Q147" s="1"/>
      <c r="R147" s="42"/>
      <c r="S147" s="1"/>
      <c r="T147" s="37"/>
      <c r="U147" s="25"/>
      <c r="V147" s="48"/>
    </row>
    <row r="148">
      <c r="N148" s="31"/>
      <c r="O148" s="1"/>
      <c r="P148" s="37"/>
      <c r="Q148" s="1"/>
      <c r="R148" s="42"/>
      <c r="S148" s="1"/>
      <c r="T148" s="37"/>
      <c r="U148" s="1"/>
      <c r="V148" s="48"/>
    </row>
    <row r="149">
      <c r="N149" s="31"/>
      <c r="O149" s="1"/>
      <c r="P149" s="37"/>
      <c r="Q149" s="1"/>
      <c r="R149" s="42"/>
      <c r="S149" s="1"/>
      <c r="T149" s="37"/>
      <c r="U149" s="1"/>
      <c r="V149" s="48"/>
    </row>
    <row r="150">
      <c r="N150" s="31"/>
      <c r="O150" s="37"/>
      <c r="P150" s="37"/>
      <c r="Q150" s="37"/>
      <c r="R150" s="42"/>
      <c r="S150" s="37"/>
      <c r="T150" s="37"/>
      <c r="U150" s="1"/>
      <c r="V150" s="29"/>
    </row>
    <row r="151">
      <c r="N151" s="31"/>
      <c r="O151" s="37"/>
      <c r="P151" s="37"/>
      <c r="Q151" s="37"/>
      <c r="R151" s="42"/>
      <c r="S151" s="37"/>
      <c r="T151" s="37"/>
      <c r="U151" s="1"/>
      <c r="V151" s="29"/>
    </row>
    <row r="152">
      <c r="N152" s="31"/>
      <c r="O152" s="37"/>
      <c r="P152" s="37"/>
      <c r="Q152" s="37"/>
      <c r="R152" s="42"/>
      <c r="S152" s="37"/>
      <c r="T152" s="37"/>
      <c r="U152" s="37"/>
      <c r="V152" s="29"/>
    </row>
    <row r="153">
      <c r="N153" s="31"/>
      <c r="O153" s="37"/>
      <c r="P153" s="37"/>
      <c r="Q153" s="37"/>
      <c r="R153" s="42"/>
      <c r="S153" s="37"/>
      <c r="T153" s="37"/>
      <c r="U153" s="1"/>
      <c r="V153" s="29"/>
    </row>
    <row r="154">
      <c r="N154" s="31"/>
      <c r="O154" s="37"/>
      <c r="P154" s="37"/>
      <c r="Q154" s="37"/>
      <c r="R154" s="42"/>
      <c r="S154" s="37"/>
      <c r="T154" s="37"/>
      <c r="U154" s="1"/>
      <c r="V154" s="29"/>
    </row>
    <row r="155">
      <c r="N155" s="31"/>
      <c r="O155" s="37"/>
      <c r="P155" s="37"/>
      <c r="Q155" s="37"/>
      <c r="R155" s="42"/>
      <c r="S155" s="37"/>
      <c r="T155" s="37"/>
      <c r="U155" s="25"/>
      <c r="V155" s="29"/>
    </row>
    <row r="156">
      <c r="N156" s="31"/>
      <c r="O156" s="37"/>
      <c r="P156" s="37"/>
      <c r="Q156" s="37"/>
      <c r="R156" s="42"/>
      <c r="S156" s="37"/>
      <c r="T156" s="37"/>
      <c r="U156" s="1"/>
      <c r="V156" s="29"/>
    </row>
    <row r="157">
      <c r="N157" s="31"/>
      <c r="O157" s="37"/>
      <c r="P157" s="37"/>
      <c r="Q157" s="37"/>
      <c r="R157" s="42"/>
      <c r="S157" s="37"/>
      <c r="T157" s="37"/>
      <c r="U157" s="1"/>
      <c r="V157" s="29"/>
    </row>
    <row r="158">
      <c r="N158" s="31"/>
      <c r="O158" s="37"/>
      <c r="P158" s="37"/>
      <c r="Q158" s="37"/>
      <c r="R158" s="42"/>
      <c r="S158" s="37"/>
      <c r="T158" s="37"/>
      <c r="U158" s="1"/>
      <c r="V158" s="29"/>
    </row>
    <row r="159">
      <c r="N159" s="31"/>
      <c r="O159" s="37"/>
      <c r="P159" s="37"/>
      <c r="Q159" s="37"/>
      <c r="R159" s="42"/>
      <c r="S159" s="37"/>
      <c r="T159" s="37"/>
      <c r="U159" s="1"/>
      <c r="V159" s="29"/>
    </row>
    <row r="160">
      <c r="N160" s="31"/>
      <c r="O160" s="37"/>
      <c r="P160" s="37"/>
      <c r="Q160" s="37"/>
      <c r="R160" s="42"/>
      <c r="S160" s="37"/>
      <c r="T160" s="37"/>
      <c r="U160" s="37"/>
      <c r="V160" s="29"/>
    </row>
    <row r="161">
      <c r="N161" s="3"/>
      <c r="O161" s="164"/>
      <c r="P161" s="164"/>
      <c r="Q161" s="164"/>
      <c r="R161" s="164"/>
      <c r="S161" s="164"/>
      <c r="T161" s="164"/>
      <c r="U161" s="1"/>
      <c r="V161" s="8"/>
    </row>
    <row r="162">
      <c r="N162" s="14"/>
      <c r="O162" s="14"/>
      <c r="P162" s="14"/>
      <c r="Q162" s="14"/>
      <c r="R162" s="18"/>
      <c r="S162" s="160"/>
      <c r="T162" s="160"/>
      <c r="U162" s="1"/>
      <c r="V162" s="15"/>
    </row>
    <row r="163">
      <c r="N163" s="15"/>
      <c r="O163" s="15"/>
      <c r="P163" s="15"/>
      <c r="Q163" s="15"/>
      <c r="R163" s="25"/>
      <c r="S163" s="25"/>
      <c r="T163" s="25"/>
      <c r="U163" s="25"/>
      <c r="V163" s="29"/>
    </row>
    <row r="164">
      <c r="N164" s="31"/>
      <c r="O164" s="32"/>
      <c r="P164" s="34"/>
      <c r="Q164" s="1"/>
      <c r="R164" s="42"/>
      <c r="S164" s="1"/>
      <c r="T164" s="37"/>
      <c r="U164" s="1"/>
      <c r="V164" s="48"/>
    </row>
    <row r="165">
      <c r="N165" s="31"/>
      <c r="O165" s="1"/>
      <c r="P165" s="37"/>
      <c r="Q165" s="1"/>
      <c r="R165" s="42"/>
      <c r="S165" s="1"/>
      <c r="T165" s="37"/>
      <c r="U165" s="1"/>
      <c r="V165" s="48"/>
    </row>
    <row r="166">
      <c r="N166" s="31"/>
      <c r="O166" s="1"/>
      <c r="P166" s="37"/>
      <c r="Q166" s="1"/>
      <c r="R166" s="42"/>
      <c r="S166" s="1"/>
      <c r="T166" s="37"/>
      <c r="U166" s="1"/>
      <c r="V166" s="29"/>
    </row>
    <row r="167">
      <c r="N167" s="31"/>
      <c r="O167" s="1"/>
      <c r="P167" s="37"/>
      <c r="Q167" s="1"/>
      <c r="R167" s="42"/>
      <c r="S167" s="1"/>
      <c r="T167" s="37"/>
      <c r="U167" s="1"/>
      <c r="V167" s="48"/>
    </row>
    <row r="168">
      <c r="N168" s="31"/>
      <c r="O168" s="1"/>
      <c r="P168" s="37"/>
      <c r="Q168" s="1"/>
      <c r="R168" s="42"/>
      <c r="S168" s="1"/>
      <c r="T168" s="37"/>
      <c r="U168" s="37"/>
      <c r="V168" s="48"/>
    </row>
    <row r="169">
      <c r="N169" s="31"/>
      <c r="O169" s="1"/>
      <c r="P169" s="37"/>
      <c r="Q169" s="1"/>
      <c r="R169" s="42"/>
      <c r="S169" s="1"/>
      <c r="T169" s="37"/>
      <c r="U169" s="1"/>
      <c r="V169" s="48"/>
    </row>
    <row r="170">
      <c r="N170" s="31"/>
      <c r="O170" s="37"/>
      <c r="P170" s="37"/>
      <c r="Q170" s="37"/>
      <c r="R170" s="42"/>
      <c r="S170" s="37"/>
      <c r="T170" s="37"/>
      <c r="U170" s="1"/>
      <c r="V170" s="29"/>
    </row>
    <row r="171">
      <c r="N171" s="31"/>
      <c r="O171" s="37"/>
      <c r="P171" s="37"/>
      <c r="Q171" s="37"/>
      <c r="R171" s="42"/>
      <c r="S171" s="37"/>
      <c r="T171" s="37"/>
      <c r="U171" s="25"/>
      <c r="V171" s="29"/>
    </row>
    <row r="172">
      <c r="N172" s="31"/>
      <c r="O172" s="37"/>
      <c r="P172" s="37"/>
      <c r="Q172" s="37"/>
      <c r="R172" s="42"/>
      <c r="S172" s="37"/>
      <c r="T172" s="37"/>
      <c r="U172" s="1"/>
      <c r="V172" s="29"/>
    </row>
    <row r="173">
      <c r="N173" s="31"/>
      <c r="O173" s="37"/>
      <c r="P173" s="37"/>
      <c r="Q173" s="37"/>
      <c r="R173" s="42"/>
      <c r="S173" s="37"/>
      <c r="T173" s="37"/>
      <c r="U173" s="1"/>
      <c r="V173" s="29"/>
    </row>
    <row r="174">
      <c r="N174" s="31"/>
      <c r="O174" s="37"/>
      <c r="P174" s="37"/>
      <c r="Q174" s="37"/>
      <c r="R174" s="42"/>
      <c r="S174" s="37"/>
      <c r="T174" s="37"/>
      <c r="U174" s="1"/>
      <c r="V174" s="29"/>
    </row>
    <row r="175">
      <c r="N175" s="31"/>
      <c r="O175" s="37"/>
      <c r="P175" s="37"/>
      <c r="Q175" s="37"/>
      <c r="R175" s="42"/>
      <c r="S175" s="37"/>
      <c r="T175" s="37"/>
      <c r="U175" s="1"/>
      <c r="V175" s="29"/>
    </row>
    <row r="176">
      <c r="N176" s="31"/>
      <c r="O176" s="37"/>
      <c r="P176" s="37"/>
      <c r="Q176" s="37"/>
      <c r="R176" s="42"/>
      <c r="S176" s="37"/>
      <c r="T176" s="37"/>
      <c r="U176" s="37"/>
      <c r="V176" s="29"/>
    </row>
    <row r="177">
      <c r="N177" s="31"/>
      <c r="O177" s="37"/>
      <c r="P177" s="37"/>
      <c r="Q177" s="37"/>
      <c r="R177" s="42"/>
      <c r="S177" s="37"/>
      <c r="T177" s="37"/>
      <c r="U177" s="1"/>
      <c r="V177" s="29"/>
    </row>
    <row r="178">
      <c r="N178" s="31"/>
      <c r="O178" s="37"/>
      <c r="P178" s="37"/>
      <c r="Q178" s="37"/>
      <c r="R178" s="42"/>
      <c r="S178" s="37"/>
      <c r="T178" s="37"/>
      <c r="U178" s="1"/>
      <c r="V178" s="29"/>
    </row>
    <row r="179">
      <c r="N179" s="31"/>
      <c r="O179" s="37"/>
      <c r="P179" s="37"/>
      <c r="Q179" s="37"/>
      <c r="R179" s="42"/>
      <c r="S179" s="37"/>
      <c r="T179" s="37"/>
      <c r="U179" s="25"/>
      <c r="V179" s="29"/>
    </row>
    <row r="180">
      <c r="N180" s="31"/>
      <c r="O180" s="37"/>
      <c r="P180" s="37"/>
      <c r="Q180" s="37"/>
      <c r="R180" s="42"/>
      <c r="S180" s="37"/>
      <c r="T180" s="37"/>
      <c r="U180" s="1"/>
      <c r="V180" s="29"/>
    </row>
    <row r="181">
      <c r="N181" s="3"/>
      <c r="O181" s="164"/>
      <c r="P181" s="164"/>
      <c r="Q181" s="164"/>
      <c r="R181" s="164"/>
      <c r="S181" s="164"/>
      <c r="T181" s="164"/>
      <c r="U181" s="1"/>
      <c r="V181" s="8"/>
    </row>
    <row r="182">
      <c r="N182" s="14"/>
      <c r="O182" s="14"/>
      <c r="P182" s="14"/>
      <c r="Q182" s="14"/>
      <c r="R182" s="18"/>
      <c r="S182" s="160"/>
      <c r="T182" s="160"/>
      <c r="U182" s="1"/>
      <c r="V182" s="15"/>
    </row>
    <row r="183">
      <c r="N183" s="15"/>
      <c r="O183" s="15"/>
      <c r="P183" s="15"/>
      <c r="Q183" s="15"/>
      <c r="R183" s="25"/>
      <c r="S183" s="25"/>
      <c r="T183" s="25"/>
      <c r="U183" s="1"/>
      <c r="V183" s="29"/>
    </row>
    <row r="184">
      <c r="N184" s="31"/>
      <c r="O184" s="32"/>
      <c r="P184" s="34"/>
      <c r="Q184" s="1"/>
      <c r="R184" s="42"/>
      <c r="S184" s="1"/>
      <c r="T184" s="37"/>
      <c r="U184" s="37"/>
      <c r="V184" s="48"/>
    </row>
    <row r="185">
      <c r="N185" s="31"/>
      <c r="O185" s="1"/>
      <c r="P185" s="37"/>
      <c r="Q185" s="1"/>
      <c r="R185" s="42"/>
      <c r="S185" s="1"/>
      <c r="T185" s="37"/>
      <c r="U185" s="1"/>
      <c r="V185" s="48"/>
    </row>
    <row r="186">
      <c r="N186" s="31"/>
      <c r="O186" s="1"/>
      <c r="P186" s="37"/>
      <c r="Q186" s="1"/>
      <c r="R186" s="42"/>
      <c r="S186" s="1"/>
      <c r="T186" s="37"/>
      <c r="U186" s="1"/>
      <c r="V186" s="29"/>
    </row>
    <row r="187">
      <c r="N187" s="31"/>
      <c r="O187" s="1"/>
      <c r="P187" s="37"/>
      <c r="Q187" s="1"/>
      <c r="R187" s="42"/>
      <c r="S187" s="1"/>
      <c r="T187" s="37"/>
      <c r="U187" s="25"/>
      <c r="V187" s="48"/>
    </row>
    <row r="188">
      <c r="N188" s="31"/>
      <c r="O188" s="1"/>
      <c r="P188" s="37"/>
      <c r="Q188" s="1"/>
      <c r="R188" s="42"/>
      <c r="S188" s="1"/>
      <c r="T188" s="37"/>
      <c r="U188" s="1"/>
      <c r="V188" s="48"/>
    </row>
    <row r="189">
      <c r="N189" s="31"/>
      <c r="O189" s="1"/>
      <c r="P189" s="37"/>
      <c r="Q189" s="1"/>
      <c r="R189" s="42"/>
      <c r="S189" s="1"/>
      <c r="T189" s="37"/>
      <c r="U189" s="1"/>
      <c r="V189" s="48"/>
    </row>
    <row r="190">
      <c r="N190" s="31"/>
      <c r="O190" s="37"/>
      <c r="P190" s="37"/>
      <c r="Q190" s="37"/>
      <c r="R190" s="42"/>
      <c r="S190" s="37"/>
      <c r="T190" s="37"/>
      <c r="U190" s="1"/>
      <c r="V190" s="29"/>
    </row>
    <row r="191">
      <c r="N191" s="31"/>
      <c r="O191" s="37"/>
      <c r="P191" s="37"/>
      <c r="Q191" s="37"/>
      <c r="R191" s="42"/>
      <c r="S191" s="37"/>
      <c r="T191" s="37"/>
      <c r="U191" s="1"/>
      <c r="V191" s="29"/>
    </row>
    <row r="192">
      <c r="N192" s="31"/>
      <c r="O192" s="37"/>
      <c r="P192" s="37"/>
      <c r="Q192" s="37"/>
      <c r="R192" s="42"/>
      <c r="S192" s="37"/>
      <c r="T192" s="37"/>
      <c r="U192" s="37"/>
      <c r="V192" s="29"/>
    </row>
    <row r="193">
      <c r="N193" s="31"/>
      <c r="O193" s="37"/>
      <c r="P193" s="37"/>
      <c r="Q193" s="37"/>
      <c r="R193" s="42"/>
      <c r="S193" s="37"/>
      <c r="T193" s="37"/>
      <c r="U193" s="1"/>
      <c r="V193" s="29"/>
    </row>
    <row r="194">
      <c r="N194" s="31"/>
      <c r="O194" s="37"/>
      <c r="P194" s="37"/>
      <c r="Q194" s="37"/>
      <c r="R194" s="42"/>
      <c r="S194" s="37"/>
      <c r="T194" s="37"/>
      <c r="U194" s="1"/>
      <c r="V194" s="29"/>
    </row>
    <row r="195">
      <c r="N195" s="31"/>
      <c r="O195" s="37"/>
      <c r="P195" s="37"/>
      <c r="Q195" s="37"/>
      <c r="R195" s="42"/>
      <c r="S195" s="37"/>
      <c r="T195" s="37"/>
      <c r="U195" s="25"/>
      <c r="V195" s="29"/>
    </row>
    <row r="196">
      <c r="N196" s="31"/>
      <c r="O196" s="37"/>
      <c r="P196" s="37"/>
      <c r="Q196" s="37"/>
      <c r="R196" s="42"/>
      <c r="S196" s="37"/>
      <c r="T196" s="37"/>
      <c r="U196" s="1"/>
      <c r="V196" s="29"/>
    </row>
    <row r="197">
      <c r="N197" s="31"/>
      <c r="O197" s="37"/>
      <c r="P197" s="37"/>
      <c r="Q197" s="37"/>
      <c r="R197" s="42"/>
      <c r="S197" s="37"/>
      <c r="T197" s="37"/>
      <c r="U197" s="1"/>
      <c r="V197" s="29"/>
    </row>
    <row r="198">
      <c r="N198" s="31"/>
      <c r="O198" s="37"/>
      <c r="P198" s="37"/>
      <c r="Q198" s="37"/>
      <c r="R198" s="42"/>
      <c r="S198" s="37"/>
      <c r="T198" s="37"/>
      <c r="U198" s="1"/>
      <c r="V198" s="29"/>
    </row>
    <row r="199">
      <c r="N199" s="31"/>
      <c r="O199" s="37"/>
      <c r="P199" s="37"/>
      <c r="Q199" s="37"/>
      <c r="R199" s="42"/>
      <c r="S199" s="37"/>
      <c r="T199" s="37"/>
      <c r="U199" s="1"/>
      <c r="V199" s="29"/>
    </row>
    <row r="200">
      <c r="N200" s="31"/>
      <c r="O200" s="37"/>
      <c r="P200" s="37"/>
      <c r="Q200" s="37"/>
      <c r="R200" s="42"/>
      <c r="S200" s="37"/>
      <c r="T200" s="37"/>
      <c r="U200" s="37"/>
      <c r="V200" s="29"/>
    </row>
    <row r="201">
      <c r="N201" s="3"/>
      <c r="O201" s="164"/>
      <c r="P201" s="164"/>
      <c r="Q201" s="164"/>
      <c r="R201" s="164"/>
      <c r="S201" s="164"/>
      <c r="T201" s="164"/>
      <c r="U201" s="1"/>
      <c r="V201" s="8"/>
    </row>
    <row r="202">
      <c r="N202" s="14"/>
      <c r="O202" s="14"/>
      <c r="P202" s="14"/>
      <c r="Q202" s="14"/>
      <c r="R202" s="18"/>
      <c r="S202" s="160"/>
      <c r="T202" s="160"/>
      <c r="U202" s="1"/>
      <c r="V202" s="15"/>
    </row>
    <row r="203">
      <c r="N203" s="15"/>
      <c r="O203" s="15"/>
      <c r="P203" s="15"/>
      <c r="Q203" s="15"/>
      <c r="R203" s="25"/>
      <c r="S203" s="25"/>
      <c r="T203" s="25"/>
      <c r="U203" s="25"/>
      <c r="V203" s="29"/>
    </row>
    <row r="204">
      <c r="N204" s="31"/>
      <c r="O204" s="32"/>
      <c r="P204" s="34"/>
      <c r="Q204" s="1"/>
      <c r="R204" s="42"/>
      <c r="S204" s="1"/>
      <c r="T204" s="37"/>
      <c r="U204" s="1"/>
      <c r="V204" s="48"/>
    </row>
    <row r="205">
      <c r="N205" s="31"/>
      <c r="O205" s="1"/>
      <c r="P205" s="37"/>
      <c r="Q205" s="1"/>
      <c r="R205" s="42"/>
      <c r="S205" s="1"/>
      <c r="T205" s="37"/>
      <c r="U205" s="1"/>
      <c r="V205" s="48"/>
    </row>
    <row r="206">
      <c r="N206" s="31"/>
      <c r="O206" s="1"/>
      <c r="P206" s="37"/>
      <c r="Q206" s="1"/>
      <c r="R206" s="42"/>
      <c r="S206" s="1"/>
      <c r="T206" s="37"/>
      <c r="U206" s="1"/>
      <c r="V206" s="29"/>
    </row>
    <row r="207">
      <c r="N207" s="31"/>
      <c r="O207" s="1"/>
      <c r="P207" s="37"/>
      <c r="Q207" s="1"/>
      <c r="R207" s="42"/>
      <c r="S207" s="1"/>
      <c r="T207" s="37"/>
      <c r="U207" s="1"/>
      <c r="V207" s="48"/>
    </row>
    <row r="208">
      <c r="N208" s="31"/>
      <c r="O208" s="1"/>
      <c r="P208" s="37"/>
      <c r="Q208" s="1"/>
      <c r="R208" s="42"/>
      <c r="S208" s="1"/>
      <c r="T208" s="37"/>
      <c r="U208" s="37"/>
      <c r="V208" s="48"/>
    </row>
    <row r="209">
      <c r="N209" s="31"/>
      <c r="O209" s="1"/>
      <c r="P209" s="37"/>
      <c r="Q209" s="1"/>
      <c r="R209" s="42"/>
      <c r="S209" s="1"/>
      <c r="T209" s="37"/>
      <c r="U209" s="1"/>
      <c r="V209" s="48"/>
    </row>
    <row r="210">
      <c r="N210" s="31"/>
      <c r="O210" s="37"/>
      <c r="P210" s="37"/>
      <c r="Q210" s="37"/>
      <c r="R210" s="42"/>
      <c r="S210" s="37"/>
      <c r="T210" s="37"/>
      <c r="U210" s="1"/>
      <c r="V210" s="29"/>
    </row>
    <row r="211">
      <c r="N211" s="31"/>
      <c r="O211" s="37"/>
      <c r="P211" s="37"/>
      <c r="Q211" s="37"/>
      <c r="R211" s="42"/>
      <c r="S211" s="37"/>
      <c r="T211" s="37"/>
      <c r="U211" s="25"/>
      <c r="V211" s="29"/>
    </row>
    <row r="212">
      <c r="N212" s="31"/>
      <c r="O212" s="37"/>
      <c r="P212" s="37"/>
      <c r="Q212" s="37"/>
      <c r="R212" s="42"/>
      <c r="S212" s="37"/>
      <c r="T212" s="37"/>
      <c r="U212" s="1"/>
      <c r="V212" s="29"/>
    </row>
    <row r="213">
      <c r="N213" s="31"/>
      <c r="O213" s="37"/>
      <c r="P213" s="37"/>
      <c r="Q213" s="37"/>
      <c r="R213" s="42"/>
      <c r="S213" s="37"/>
      <c r="T213" s="37"/>
      <c r="U213" s="1"/>
      <c r="V213" s="29"/>
    </row>
    <row r="214">
      <c r="N214" s="31"/>
      <c r="O214" s="37"/>
      <c r="P214" s="37"/>
      <c r="Q214" s="37"/>
      <c r="R214" s="42"/>
      <c r="S214" s="37"/>
      <c r="T214" s="37"/>
      <c r="U214" s="1"/>
      <c r="V214" s="29"/>
    </row>
    <row r="215">
      <c r="N215" s="31"/>
      <c r="O215" s="37"/>
      <c r="P215" s="37"/>
      <c r="Q215" s="37"/>
      <c r="R215" s="42"/>
      <c r="S215" s="37"/>
      <c r="T215" s="37"/>
      <c r="U215" s="1"/>
      <c r="V215" s="29"/>
    </row>
    <row r="216">
      <c r="N216" s="31"/>
      <c r="O216" s="37"/>
      <c r="P216" s="37"/>
      <c r="Q216" s="37"/>
      <c r="R216" s="42"/>
      <c r="S216" s="37"/>
      <c r="T216" s="37"/>
      <c r="U216" s="37"/>
      <c r="V216" s="29"/>
    </row>
    <row r="217">
      <c r="N217" s="31"/>
      <c r="O217" s="37"/>
      <c r="P217" s="37"/>
      <c r="Q217" s="37"/>
      <c r="R217" s="42"/>
      <c r="S217" s="37"/>
      <c r="T217" s="37"/>
      <c r="U217" s="1"/>
      <c r="V217" s="29"/>
    </row>
    <row r="218">
      <c r="N218" s="31"/>
      <c r="O218" s="37"/>
      <c r="P218" s="37"/>
      <c r="Q218" s="37"/>
      <c r="R218" s="42"/>
      <c r="S218" s="37"/>
      <c r="T218" s="37"/>
      <c r="U218" s="1"/>
      <c r="V218" s="29"/>
    </row>
    <row r="219">
      <c r="N219" s="31"/>
      <c r="O219" s="37"/>
      <c r="P219" s="37"/>
      <c r="Q219" s="37"/>
      <c r="R219" s="42"/>
      <c r="S219" s="37"/>
      <c r="T219" s="37"/>
      <c r="U219" s="25"/>
      <c r="V219" s="29"/>
    </row>
    <row r="220">
      <c r="N220" s="31"/>
      <c r="O220" s="37"/>
      <c r="P220" s="37"/>
      <c r="Q220" s="37"/>
      <c r="R220" s="42"/>
      <c r="S220" s="37"/>
      <c r="T220" s="37"/>
      <c r="U220" s="1"/>
      <c r="V220" s="29"/>
    </row>
    <row r="221">
      <c r="N221" s="3"/>
      <c r="O221" s="164"/>
      <c r="P221" s="164"/>
      <c r="Q221" s="164"/>
      <c r="R221" s="164"/>
      <c r="S221" s="164"/>
      <c r="T221" s="164"/>
      <c r="U221" s="1"/>
      <c r="V221" s="8"/>
    </row>
    <row r="222">
      <c r="N222" s="14"/>
      <c r="O222" s="14"/>
      <c r="P222" s="14"/>
      <c r="Q222" s="14"/>
      <c r="R222" s="18"/>
      <c r="S222" s="160"/>
      <c r="T222" s="160"/>
      <c r="U222" s="1"/>
      <c r="V222" s="15"/>
    </row>
    <row r="223">
      <c r="N223" s="15"/>
      <c r="O223" s="15"/>
      <c r="P223" s="15"/>
      <c r="Q223" s="15"/>
      <c r="R223" s="25"/>
      <c r="S223" s="25"/>
      <c r="T223" s="25"/>
      <c r="U223" s="1"/>
      <c r="V223" s="29"/>
    </row>
    <row r="224">
      <c r="N224" s="31"/>
      <c r="O224" s="32"/>
      <c r="P224" s="34"/>
      <c r="Q224" s="1"/>
      <c r="R224" s="42"/>
      <c r="S224" s="1"/>
      <c r="T224" s="37"/>
      <c r="U224" s="37"/>
      <c r="V224" s="48"/>
    </row>
    <row r="225">
      <c r="N225" s="31"/>
      <c r="O225" s="1"/>
      <c r="P225" s="37"/>
      <c r="Q225" s="1"/>
      <c r="R225" s="42"/>
      <c r="S225" s="1"/>
      <c r="T225" s="37"/>
      <c r="U225" s="1"/>
      <c r="V225" s="48"/>
    </row>
    <row r="226">
      <c r="N226" s="31"/>
      <c r="O226" s="1"/>
      <c r="P226" s="37"/>
      <c r="Q226" s="1"/>
      <c r="R226" s="42"/>
      <c r="S226" s="1"/>
      <c r="T226" s="37"/>
      <c r="U226" s="1"/>
      <c r="V226" s="29"/>
    </row>
    <row r="227">
      <c r="N227" s="31"/>
      <c r="O227" s="1"/>
      <c r="P227" s="37"/>
      <c r="Q227" s="1"/>
      <c r="R227" s="42"/>
      <c r="S227" s="1"/>
      <c r="T227" s="37"/>
      <c r="U227" s="25"/>
      <c r="V227" s="48"/>
    </row>
    <row r="228">
      <c r="N228" s="31"/>
      <c r="O228" s="1"/>
      <c r="P228" s="37"/>
      <c r="Q228" s="1"/>
      <c r="R228" s="42"/>
      <c r="S228" s="1"/>
      <c r="T228" s="37"/>
      <c r="U228" s="1"/>
      <c r="V228" s="48"/>
    </row>
    <row r="229">
      <c r="N229" s="31"/>
      <c r="O229" s="1"/>
      <c r="P229" s="37"/>
      <c r="Q229" s="1"/>
      <c r="R229" s="42"/>
      <c r="S229" s="1"/>
      <c r="T229" s="37"/>
      <c r="U229" s="1"/>
      <c r="V229" s="48"/>
    </row>
    <row r="230">
      <c r="N230" s="31"/>
      <c r="O230" s="37"/>
      <c r="P230" s="37"/>
      <c r="Q230" s="37"/>
      <c r="R230" s="42"/>
      <c r="S230" s="37"/>
      <c r="T230" s="37"/>
      <c r="U230" s="1"/>
      <c r="V230" s="29"/>
    </row>
    <row r="231">
      <c r="N231" s="31"/>
      <c r="O231" s="37"/>
      <c r="P231" s="37"/>
      <c r="Q231" s="37"/>
      <c r="R231" s="42"/>
      <c r="S231" s="37"/>
      <c r="T231" s="37"/>
      <c r="U231" s="1"/>
      <c r="V231" s="29"/>
    </row>
    <row r="232">
      <c r="N232" s="31"/>
      <c r="O232" s="37"/>
      <c r="P232" s="37"/>
      <c r="Q232" s="37"/>
      <c r="R232" s="42"/>
      <c r="S232" s="37"/>
      <c r="T232" s="37"/>
      <c r="U232" s="37"/>
      <c r="V232" s="29"/>
    </row>
    <row r="233">
      <c r="N233" s="31"/>
      <c r="O233" s="37"/>
      <c r="P233" s="37"/>
      <c r="Q233" s="37"/>
      <c r="R233" s="42"/>
      <c r="S233" s="37"/>
      <c r="T233" s="37"/>
      <c r="U233" s="1"/>
      <c r="V233" s="29"/>
    </row>
    <row r="234">
      <c r="N234" s="31"/>
      <c r="O234" s="37"/>
      <c r="P234" s="37"/>
      <c r="Q234" s="37"/>
      <c r="R234" s="42"/>
      <c r="S234" s="37"/>
      <c r="T234" s="37"/>
      <c r="U234" s="1"/>
      <c r="V234" s="29"/>
    </row>
    <row r="235">
      <c r="N235" s="31"/>
      <c r="O235" s="37"/>
      <c r="P235" s="37"/>
      <c r="Q235" s="37"/>
      <c r="R235" s="42"/>
      <c r="S235" s="37"/>
      <c r="T235" s="37"/>
      <c r="U235" s="25"/>
      <c r="V235" s="29"/>
    </row>
    <row r="236">
      <c r="N236" s="31"/>
      <c r="O236" s="37"/>
      <c r="P236" s="37"/>
      <c r="Q236" s="37"/>
      <c r="R236" s="42"/>
      <c r="S236" s="37"/>
      <c r="T236" s="37"/>
      <c r="U236" s="1"/>
      <c r="V236" s="29"/>
    </row>
    <row r="237">
      <c r="N237" s="31"/>
      <c r="O237" s="37"/>
      <c r="P237" s="37"/>
      <c r="Q237" s="37"/>
      <c r="R237" s="42"/>
      <c r="S237" s="37"/>
      <c r="T237" s="37"/>
      <c r="U237" s="1"/>
      <c r="V237" s="29"/>
    </row>
    <row r="238">
      <c r="N238" s="31"/>
      <c r="O238" s="37"/>
      <c r="P238" s="37"/>
      <c r="Q238" s="37"/>
      <c r="R238" s="42"/>
      <c r="S238" s="37"/>
      <c r="T238" s="37"/>
      <c r="U238" s="1"/>
      <c r="V238" s="29"/>
    </row>
    <row r="239">
      <c r="N239" s="31"/>
      <c r="O239" s="37"/>
      <c r="P239" s="37"/>
      <c r="Q239" s="37"/>
      <c r="R239" s="42"/>
      <c r="S239" s="37"/>
      <c r="T239" s="37"/>
      <c r="U239" s="1"/>
      <c r="V239" s="29"/>
    </row>
    <row r="240">
      <c r="N240" s="31"/>
      <c r="O240" s="37"/>
      <c r="P240" s="37"/>
      <c r="Q240" s="37"/>
      <c r="R240" s="42"/>
      <c r="S240" s="37"/>
      <c r="T240" s="37"/>
      <c r="U240" s="37"/>
      <c r="V240" s="29"/>
    </row>
    <row r="241">
      <c r="N241" s="3"/>
      <c r="O241" s="164"/>
      <c r="P241" s="164"/>
      <c r="Q241" s="164"/>
      <c r="R241" s="164"/>
      <c r="S241" s="164"/>
      <c r="T241" s="164"/>
      <c r="U241" s="1"/>
      <c r="V241" s="8"/>
    </row>
    <row r="242">
      <c r="N242" s="14"/>
      <c r="O242" s="14"/>
      <c r="P242" s="14"/>
      <c r="Q242" s="14"/>
      <c r="R242" s="18"/>
      <c r="S242" s="160"/>
      <c r="T242" s="160"/>
      <c r="U242" s="1"/>
      <c r="V242" s="15"/>
    </row>
    <row r="243">
      <c r="N243" s="15"/>
      <c r="O243" s="15"/>
      <c r="P243" s="15"/>
      <c r="Q243" s="15"/>
      <c r="R243" s="25"/>
      <c r="S243" s="25"/>
      <c r="T243" s="25"/>
      <c r="U243" s="25"/>
      <c r="V243" s="29"/>
    </row>
    <row r="244">
      <c r="N244" s="31"/>
      <c r="O244" s="32"/>
      <c r="P244" s="34"/>
      <c r="Q244" s="1"/>
      <c r="R244" s="42"/>
      <c r="S244" s="1"/>
      <c r="T244" s="37"/>
      <c r="U244" s="1"/>
      <c r="V244" s="48"/>
    </row>
    <row r="245">
      <c r="N245" s="31"/>
      <c r="O245" s="1"/>
      <c r="P245" s="37"/>
      <c r="Q245" s="1"/>
      <c r="R245" s="42"/>
      <c r="S245" s="1"/>
      <c r="T245" s="37"/>
      <c r="U245" s="1"/>
      <c r="V245" s="48"/>
    </row>
    <row r="246">
      <c r="N246" s="31"/>
      <c r="O246" s="1"/>
      <c r="P246" s="37"/>
      <c r="Q246" s="1"/>
      <c r="R246" s="42"/>
      <c r="S246" s="1"/>
      <c r="T246" s="37"/>
      <c r="U246" s="1"/>
      <c r="V246" s="29"/>
    </row>
    <row r="247">
      <c r="N247" s="31"/>
      <c r="O247" s="1"/>
      <c r="P247" s="37"/>
      <c r="Q247" s="1"/>
      <c r="R247" s="42"/>
      <c r="S247" s="1"/>
      <c r="T247" s="37"/>
      <c r="U247" s="1"/>
      <c r="V247" s="48"/>
    </row>
    <row r="248">
      <c r="N248" s="31"/>
      <c r="O248" s="1"/>
      <c r="P248" s="37"/>
      <c r="Q248" s="1"/>
      <c r="R248" s="42"/>
      <c r="S248" s="1"/>
      <c r="T248" s="37"/>
      <c r="U248" s="37"/>
      <c r="V248" s="48"/>
    </row>
    <row r="249">
      <c r="N249" s="31"/>
      <c r="O249" s="1"/>
      <c r="P249" s="37"/>
      <c r="Q249" s="1"/>
      <c r="R249" s="42"/>
      <c r="S249" s="1"/>
      <c r="T249" s="37"/>
      <c r="U249" s="1"/>
      <c r="V249" s="48"/>
    </row>
    <row r="250">
      <c r="N250" s="31"/>
      <c r="O250" s="37"/>
      <c r="P250" s="37"/>
      <c r="Q250" s="37"/>
      <c r="R250" s="42"/>
      <c r="S250" s="37"/>
      <c r="T250" s="37"/>
      <c r="U250" s="1"/>
      <c r="V250" s="29"/>
    </row>
    <row r="251">
      <c r="N251" s="31"/>
      <c r="O251" s="37"/>
      <c r="P251" s="37"/>
      <c r="Q251" s="37"/>
      <c r="R251" s="42"/>
      <c r="S251" s="37"/>
      <c r="T251" s="37"/>
      <c r="U251" s="25"/>
      <c r="V251" s="29"/>
    </row>
    <row r="252">
      <c r="N252" s="31"/>
      <c r="O252" s="37"/>
      <c r="P252" s="37"/>
      <c r="Q252" s="37"/>
      <c r="R252" s="42"/>
      <c r="S252" s="37"/>
      <c r="T252" s="37"/>
      <c r="U252" s="1"/>
      <c r="V252" s="29"/>
    </row>
    <row r="253">
      <c r="N253" s="31"/>
      <c r="O253" s="37"/>
      <c r="P253" s="37"/>
      <c r="Q253" s="37"/>
      <c r="R253" s="42"/>
      <c r="S253" s="37"/>
      <c r="T253" s="37"/>
      <c r="U253" s="1"/>
      <c r="V253" s="29"/>
    </row>
    <row r="254">
      <c r="N254" s="31"/>
      <c r="O254" s="37"/>
      <c r="P254" s="37"/>
      <c r="Q254" s="37"/>
      <c r="R254" s="42"/>
      <c r="S254" s="37"/>
      <c r="T254" s="37"/>
      <c r="U254" s="1"/>
      <c r="V254" s="29"/>
    </row>
    <row r="255">
      <c r="N255" s="31"/>
      <c r="O255" s="37"/>
      <c r="P255" s="37"/>
      <c r="Q255" s="37"/>
      <c r="R255" s="42"/>
      <c r="S255" s="37"/>
      <c r="T255" s="37"/>
      <c r="U255" s="1"/>
      <c r="V255" s="29"/>
    </row>
    <row r="256">
      <c r="N256" s="31"/>
      <c r="O256" s="37"/>
      <c r="P256" s="37"/>
      <c r="Q256" s="37"/>
      <c r="R256" s="42"/>
      <c r="S256" s="37"/>
      <c r="T256" s="37"/>
      <c r="U256" s="37"/>
      <c r="V256" s="29"/>
    </row>
    <row r="257">
      <c r="N257" s="31"/>
      <c r="O257" s="37"/>
      <c r="P257" s="37"/>
      <c r="Q257" s="37"/>
      <c r="R257" s="42"/>
      <c r="S257" s="37"/>
      <c r="T257" s="37"/>
      <c r="U257" s="1"/>
      <c r="V257" s="29"/>
    </row>
    <row r="258">
      <c r="N258" s="31"/>
      <c r="O258" s="37"/>
      <c r="P258" s="37"/>
      <c r="Q258" s="37"/>
      <c r="R258" s="42"/>
      <c r="S258" s="37"/>
      <c r="T258" s="37"/>
      <c r="U258" s="1"/>
      <c r="V258" s="29"/>
    </row>
    <row r="259">
      <c r="N259" s="31"/>
      <c r="O259" s="37"/>
      <c r="P259" s="37"/>
      <c r="Q259" s="37"/>
      <c r="R259" s="42"/>
      <c r="S259" s="37"/>
      <c r="T259" s="37"/>
      <c r="U259" s="25"/>
      <c r="V259" s="29"/>
    </row>
    <row r="260">
      <c r="N260" s="31"/>
      <c r="O260" s="37"/>
      <c r="P260" s="37"/>
      <c r="Q260" s="37"/>
      <c r="R260" s="42"/>
      <c r="S260" s="37"/>
      <c r="T260" s="37"/>
      <c r="U260" s="1"/>
      <c r="V260" s="29"/>
    </row>
    <row r="261">
      <c r="N261" s="3"/>
      <c r="O261" s="164"/>
      <c r="P261" s="164"/>
      <c r="Q261" s="164"/>
      <c r="R261" s="164"/>
      <c r="S261" s="164"/>
      <c r="T261" s="164"/>
      <c r="U261" s="1"/>
      <c r="V261" s="8"/>
    </row>
    <row r="262">
      <c r="N262" s="14"/>
      <c r="O262" s="14"/>
      <c r="P262" s="14"/>
      <c r="Q262" s="14"/>
      <c r="R262" s="18"/>
      <c r="S262" s="160"/>
      <c r="T262" s="160"/>
      <c r="U262" s="1"/>
      <c r="V262" s="15"/>
    </row>
    <row r="263">
      <c r="N263" s="15"/>
      <c r="O263" s="15"/>
      <c r="P263" s="15"/>
      <c r="Q263" s="15"/>
      <c r="R263" s="25"/>
      <c r="S263" s="25"/>
      <c r="T263" s="25"/>
      <c r="U263" s="1"/>
      <c r="V263" s="29"/>
    </row>
    <row r="264">
      <c r="N264" s="31"/>
      <c r="O264" s="32"/>
      <c r="P264" s="34"/>
      <c r="Q264" s="1"/>
      <c r="R264" s="42"/>
      <c r="S264" s="1"/>
      <c r="T264" s="37"/>
      <c r="U264" s="37"/>
      <c r="V264" s="48"/>
    </row>
    <row r="265">
      <c r="N265" s="31"/>
      <c r="O265" s="1"/>
      <c r="P265" s="37"/>
      <c r="Q265" s="1"/>
      <c r="R265" s="42"/>
      <c r="S265" s="1"/>
      <c r="T265" s="37"/>
      <c r="U265" s="1"/>
      <c r="V265" s="48"/>
    </row>
    <row r="266">
      <c r="N266" s="31"/>
      <c r="O266" s="1"/>
      <c r="P266" s="37"/>
      <c r="Q266" s="1"/>
      <c r="R266" s="42"/>
      <c r="S266" s="1"/>
      <c r="T266" s="37"/>
      <c r="U266" s="1"/>
      <c r="V266" s="29"/>
    </row>
    <row r="267">
      <c r="N267" s="31"/>
      <c r="O267" s="1"/>
      <c r="P267" s="37"/>
      <c r="Q267" s="1"/>
      <c r="R267" s="42"/>
      <c r="S267" s="1"/>
      <c r="T267" s="37"/>
      <c r="U267" s="25"/>
      <c r="V267" s="48"/>
    </row>
    <row r="268">
      <c r="N268" s="31"/>
      <c r="O268" s="1"/>
      <c r="P268" s="37"/>
      <c r="Q268" s="1"/>
      <c r="R268" s="42"/>
      <c r="S268" s="1"/>
      <c r="T268" s="37"/>
      <c r="U268" s="1"/>
      <c r="V268" s="48"/>
    </row>
    <row r="269">
      <c r="N269" s="31"/>
      <c r="O269" s="1"/>
      <c r="P269" s="37"/>
      <c r="Q269" s="1"/>
      <c r="R269" s="42"/>
      <c r="S269" s="1"/>
      <c r="T269" s="37"/>
      <c r="U269" s="1"/>
      <c r="V269" s="48"/>
    </row>
    <row r="270">
      <c r="N270" s="31"/>
      <c r="O270" s="37"/>
      <c r="P270" s="37"/>
      <c r="Q270" s="37"/>
      <c r="R270" s="42"/>
      <c r="S270" s="37"/>
      <c r="T270" s="37"/>
      <c r="U270" s="1"/>
      <c r="V270" s="29"/>
    </row>
    <row r="271">
      <c r="N271" s="31"/>
      <c r="O271" s="37"/>
      <c r="P271" s="37"/>
      <c r="Q271" s="37"/>
      <c r="R271" s="42"/>
      <c r="S271" s="37"/>
      <c r="T271" s="37"/>
      <c r="U271" s="1"/>
      <c r="V271" s="29"/>
    </row>
    <row r="272">
      <c r="N272" s="31"/>
      <c r="O272" s="37"/>
      <c r="P272" s="37"/>
      <c r="Q272" s="37"/>
      <c r="R272" s="42"/>
      <c r="S272" s="37"/>
      <c r="T272" s="37"/>
      <c r="U272" s="37"/>
      <c r="V272" s="29"/>
    </row>
    <row r="273">
      <c r="N273" s="31"/>
      <c r="O273" s="37"/>
      <c r="P273" s="37"/>
      <c r="Q273" s="37"/>
      <c r="R273" s="42"/>
      <c r="S273" s="37"/>
      <c r="T273" s="37"/>
      <c r="U273" s="1"/>
      <c r="V273" s="29"/>
    </row>
    <row r="274">
      <c r="N274" s="31"/>
      <c r="O274" s="37"/>
      <c r="P274" s="37"/>
      <c r="Q274" s="37"/>
      <c r="R274" s="42"/>
      <c r="S274" s="37"/>
      <c r="T274" s="37"/>
      <c r="U274" s="1"/>
      <c r="V274" s="29"/>
    </row>
    <row r="275">
      <c r="N275" s="31"/>
      <c r="O275" s="37"/>
      <c r="P275" s="37"/>
      <c r="Q275" s="37"/>
      <c r="R275" s="42"/>
      <c r="S275" s="37"/>
      <c r="T275" s="37"/>
      <c r="U275" s="25"/>
      <c r="V275" s="29"/>
    </row>
    <row r="276">
      <c r="N276" s="31"/>
      <c r="O276" s="37"/>
      <c r="P276" s="37"/>
      <c r="Q276" s="37"/>
      <c r="R276" s="42"/>
      <c r="S276" s="37"/>
      <c r="T276" s="37"/>
      <c r="U276" s="1"/>
      <c r="V276" s="29"/>
    </row>
    <row r="277">
      <c r="N277" s="31"/>
      <c r="O277" s="37"/>
      <c r="P277" s="37"/>
      <c r="Q277" s="37"/>
      <c r="R277" s="42"/>
      <c r="S277" s="37"/>
      <c r="T277" s="37"/>
      <c r="U277" s="1"/>
      <c r="V277" s="29"/>
    </row>
    <row r="278">
      <c r="N278" s="31"/>
      <c r="O278" s="37"/>
      <c r="P278" s="37"/>
      <c r="Q278" s="37"/>
      <c r="R278" s="42"/>
      <c r="S278" s="37"/>
      <c r="T278" s="37"/>
      <c r="U278" s="1"/>
      <c r="V278" s="29"/>
    </row>
    <row r="279">
      <c r="N279" s="31"/>
      <c r="O279" s="37"/>
      <c r="P279" s="37"/>
      <c r="Q279" s="37"/>
      <c r="R279" s="42"/>
      <c r="S279" s="37"/>
      <c r="T279" s="37"/>
      <c r="U279" s="1"/>
      <c r="V279" s="29"/>
    </row>
    <row r="280">
      <c r="N280" s="31"/>
      <c r="O280" s="37"/>
      <c r="P280" s="37"/>
      <c r="Q280" s="37"/>
      <c r="R280" s="42"/>
      <c r="S280" s="37"/>
      <c r="T280" s="37"/>
      <c r="U280" s="37"/>
      <c r="V280" s="29"/>
    </row>
    <row r="281">
      <c r="N281" s="3"/>
      <c r="O281" s="164"/>
      <c r="P281" s="164"/>
      <c r="Q281" s="164"/>
      <c r="R281" s="164"/>
      <c r="S281" s="164"/>
      <c r="T281" s="164"/>
      <c r="U281" s="1"/>
      <c r="V281" s="8"/>
    </row>
    <row r="282">
      <c r="N282" s="14"/>
      <c r="O282" s="14"/>
      <c r="P282" s="14"/>
      <c r="Q282" s="14"/>
      <c r="R282" s="18"/>
      <c r="S282" s="160"/>
      <c r="T282" s="160"/>
      <c r="U282" s="1"/>
      <c r="V282" s="15"/>
    </row>
    <row r="283">
      <c r="N283" s="15"/>
      <c r="O283" s="15"/>
      <c r="P283" s="15"/>
      <c r="Q283" s="15"/>
      <c r="R283" s="25"/>
      <c r="S283" s="25"/>
      <c r="T283" s="25"/>
      <c r="U283" s="25"/>
      <c r="V283" s="29"/>
    </row>
    <row r="284">
      <c r="N284" s="31"/>
      <c r="O284" s="32"/>
      <c r="P284" s="34"/>
      <c r="Q284" s="1"/>
      <c r="R284" s="42"/>
      <c r="S284" s="1"/>
      <c r="T284" s="37"/>
      <c r="U284" s="1"/>
      <c r="V284" s="48"/>
    </row>
    <row r="285">
      <c r="N285" s="31"/>
      <c r="O285" s="1"/>
      <c r="P285" s="37"/>
      <c r="Q285" s="1"/>
      <c r="R285" s="42"/>
      <c r="S285" s="1"/>
      <c r="T285" s="37"/>
      <c r="U285" s="1"/>
      <c r="V285" s="48"/>
    </row>
    <row r="286">
      <c r="N286" s="31"/>
      <c r="O286" s="1"/>
      <c r="P286" s="37"/>
      <c r="Q286" s="1"/>
      <c r="R286" s="42"/>
      <c r="S286" s="1"/>
      <c r="T286" s="37"/>
      <c r="U286" s="1"/>
      <c r="V286" s="29"/>
    </row>
    <row r="287">
      <c r="N287" s="31"/>
      <c r="O287" s="1"/>
      <c r="P287" s="37"/>
      <c r="Q287" s="1"/>
      <c r="R287" s="42"/>
      <c r="S287" s="1"/>
      <c r="T287" s="37"/>
      <c r="U287" s="1"/>
      <c r="V287" s="48"/>
    </row>
    <row r="288">
      <c r="N288" s="31"/>
      <c r="O288" s="1"/>
      <c r="P288" s="37"/>
      <c r="Q288" s="1"/>
      <c r="R288" s="42"/>
      <c r="S288" s="1"/>
      <c r="T288" s="37"/>
      <c r="U288" s="37"/>
      <c r="V288" s="48"/>
    </row>
    <row r="289">
      <c r="N289" s="31"/>
      <c r="O289" s="1"/>
      <c r="P289" s="37"/>
      <c r="Q289" s="1"/>
      <c r="R289" s="42"/>
      <c r="S289" s="1"/>
      <c r="T289" s="37"/>
      <c r="U289" s="1"/>
      <c r="V289" s="48"/>
    </row>
    <row r="290">
      <c r="N290" s="31"/>
      <c r="O290" s="37"/>
      <c r="P290" s="37"/>
      <c r="Q290" s="37"/>
      <c r="R290" s="42"/>
      <c r="S290" s="37"/>
      <c r="T290" s="37"/>
      <c r="U290" s="1"/>
      <c r="V290" s="29"/>
    </row>
    <row r="291">
      <c r="N291" s="31"/>
      <c r="O291" s="37"/>
      <c r="P291" s="37"/>
      <c r="Q291" s="37"/>
      <c r="R291" s="42"/>
      <c r="S291" s="37"/>
      <c r="T291" s="37"/>
      <c r="U291" s="25"/>
      <c r="V291" s="29"/>
    </row>
    <row r="292">
      <c r="N292" s="31"/>
      <c r="O292" s="37"/>
      <c r="P292" s="37"/>
      <c r="Q292" s="37"/>
      <c r="R292" s="42"/>
      <c r="S292" s="37"/>
      <c r="T292" s="37"/>
      <c r="U292" s="1"/>
      <c r="V292" s="29"/>
    </row>
    <row r="293">
      <c r="N293" s="31"/>
      <c r="O293" s="37"/>
      <c r="P293" s="37"/>
      <c r="Q293" s="37"/>
      <c r="R293" s="42"/>
      <c r="S293" s="37"/>
      <c r="T293" s="37"/>
      <c r="U293" s="1"/>
      <c r="V293" s="29"/>
    </row>
    <row r="294">
      <c r="N294" s="31"/>
      <c r="O294" s="37"/>
      <c r="P294" s="37"/>
      <c r="Q294" s="37"/>
      <c r="R294" s="42"/>
      <c r="S294" s="37"/>
      <c r="T294" s="37"/>
      <c r="U294" s="1"/>
      <c r="V294" s="29"/>
    </row>
    <row r="295">
      <c r="N295" s="31"/>
      <c r="O295" s="37"/>
      <c r="P295" s="37"/>
      <c r="Q295" s="37"/>
      <c r="R295" s="42"/>
      <c r="S295" s="37"/>
      <c r="T295" s="37"/>
      <c r="U295" s="1"/>
      <c r="V295" s="29"/>
    </row>
    <row r="296">
      <c r="N296" s="31"/>
      <c r="O296" s="37"/>
      <c r="P296" s="37"/>
      <c r="Q296" s="37"/>
      <c r="R296" s="42"/>
      <c r="S296" s="37"/>
      <c r="T296" s="37"/>
      <c r="U296" s="37"/>
      <c r="V296" s="29"/>
    </row>
    <row r="297">
      <c r="N297" s="31"/>
      <c r="O297" s="37"/>
      <c r="P297" s="37"/>
      <c r="Q297" s="37"/>
      <c r="R297" s="42"/>
      <c r="S297" s="37"/>
      <c r="T297" s="37"/>
      <c r="U297" s="1"/>
      <c r="V297" s="29"/>
    </row>
    <row r="298">
      <c r="N298" s="31"/>
      <c r="O298" s="37"/>
      <c r="P298" s="37"/>
      <c r="Q298" s="37"/>
      <c r="R298" s="42"/>
      <c r="S298" s="37"/>
      <c r="T298" s="37"/>
      <c r="U298" s="1"/>
      <c r="V298" s="29"/>
    </row>
    <row r="299">
      <c r="N299" s="31"/>
      <c r="O299" s="37"/>
      <c r="P299" s="37"/>
      <c r="Q299" s="37"/>
      <c r="R299" s="42"/>
      <c r="S299" s="37"/>
      <c r="T299" s="37"/>
      <c r="U299" s="25"/>
      <c r="V299" s="29"/>
    </row>
    <row r="300">
      <c r="N300" s="31"/>
      <c r="O300" s="37"/>
      <c r="P300" s="37"/>
      <c r="Q300" s="37"/>
      <c r="R300" s="42"/>
      <c r="S300" s="37"/>
      <c r="T300" s="37"/>
      <c r="U300" s="1"/>
      <c r="V300" s="29"/>
    </row>
    <row r="301">
      <c r="N301" s="3"/>
      <c r="O301" s="164"/>
      <c r="P301" s="164"/>
      <c r="Q301" s="164"/>
      <c r="R301" s="164"/>
      <c r="S301" s="164"/>
      <c r="T301" s="164"/>
      <c r="U301" s="1"/>
      <c r="V301" s="8"/>
    </row>
    <row r="302">
      <c r="N302" s="14"/>
      <c r="O302" s="14"/>
      <c r="P302" s="14"/>
      <c r="Q302" s="14"/>
      <c r="R302" s="18"/>
      <c r="S302" s="160"/>
      <c r="T302" s="160"/>
      <c r="U302" s="1"/>
      <c r="V302" s="15"/>
    </row>
    <row r="303">
      <c r="N303" s="15"/>
      <c r="O303" s="15"/>
      <c r="P303" s="15"/>
      <c r="Q303" s="15"/>
      <c r="R303" s="25"/>
      <c r="S303" s="25"/>
      <c r="T303" s="25"/>
      <c r="U303" s="1"/>
      <c r="V303" s="29"/>
    </row>
    <row r="304">
      <c r="N304" s="31"/>
      <c r="O304" s="32"/>
      <c r="P304" s="34"/>
      <c r="Q304" s="1"/>
      <c r="R304" s="42"/>
      <c r="S304" s="1"/>
      <c r="T304" s="37"/>
      <c r="U304" s="37"/>
      <c r="V304" s="48"/>
    </row>
    <row r="305">
      <c r="N305" s="31"/>
      <c r="O305" s="1"/>
      <c r="P305" s="37"/>
      <c r="Q305" s="1"/>
      <c r="R305" s="42"/>
      <c r="S305" s="1"/>
      <c r="T305" s="37"/>
      <c r="U305" s="1"/>
      <c r="V305" s="48"/>
    </row>
    <row r="306">
      <c r="N306" s="31"/>
      <c r="O306" s="1"/>
      <c r="P306" s="37"/>
      <c r="Q306" s="1"/>
      <c r="R306" s="42"/>
      <c r="S306" s="1"/>
      <c r="T306" s="37"/>
      <c r="U306" s="1"/>
      <c r="V306" s="29"/>
    </row>
    <row r="307">
      <c r="N307" s="31"/>
      <c r="O307" s="1"/>
      <c r="P307" s="37"/>
      <c r="Q307" s="1"/>
      <c r="R307" s="42"/>
      <c r="S307" s="1"/>
      <c r="T307" s="37"/>
      <c r="U307" s="25"/>
      <c r="V307" s="48"/>
    </row>
    <row r="308">
      <c r="N308" s="31"/>
      <c r="O308" s="1"/>
      <c r="P308" s="37"/>
      <c r="Q308" s="1"/>
      <c r="R308" s="42"/>
      <c r="S308" s="1"/>
      <c r="T308" s="37"/>
      <c r="U308" s="1"/>
      <c r="V308" s="48"/>
    </row>
    <row r="309">
      <c r="N309" s="31"/>
      <c r="O309" s="1"/>
      <c r="P309" s="37"/>
      <c r="Q309" s="1"/>
      <c r="R309" s="42"/>
      <c r="S309" s="1"/>
      <c r="T309" s="37"/>
      <c r="U309" s="1"/>
      <c r="V309" s="48"/>
    </row>
    <row r="310">
      <c r="N310" s="31"/>
      <c r="O310" s="37"/>
      <c r="P310" s="37"/>
      <c r="Q310" s="37"/>
      <c r="R310" s="42"/>
      <c r="S310" s="37"/>
      <c r="T310" s="37"/>
      <c r="U310" s="1"/>
      <c r="V310" s="29"/>
    </row>
    <row r="311">
      <c r="N311" s="31"/>
      <c r="O311" s="37"/>
      <c r="P311" s="37"/>
      <c r="Q311" s="37"/>
      <c r="R311" s="42"/>
      <c r="S311" s="37"/>
      <c r="T311" s="37"/>
      <c r="U311" s="1"/>
      <c r="V311" s="29"/>
    </row>
    <row r="312">
      <c r="N312" s="31"/>
      <c r="O312" s="37"/>
      <c r="P312" s="37"/>
      <c r="Q312" s="37"/>
      <c r="R312" s="42"/>
      <c r="S312" s="37"/>
      <c r="T312" s="37"/>
      <c r="U312" s="37"/>
      <c r="V312" s="29"/>
    </row>
    <row r="313">
      <c r="N313" s="31"/>
      <c r="O313" s="37"/>
      <c r="P313" s="37"/>
      <c r="Q313" s="37"/>
      <c r="R313" s="42"/>
      <c r="S313" s="37"/>
      <c r="T313" s="37"/>
      <c r="U313" s="1"/>
      <c r="V313" s="29"/>
    </row>
    <row r="314">
      <c r="N314" s="31"/>
      <c r="O314" s="37"/>
      <c r="P314" s="37"/>
      <c r="Q314" s="37"/>
      <c r="R314" s="42"/>
      <c r="S314" s="37"/>
      <c r="T314" s="37"/>
      <c r="U314" s="1"/>
      <c r="V314" s="29"/>
    </row>
    <row r="315">
      <c r="N315" s="31"/>
      <c r="O315" s="37"/>
      <c r="P315" s="37"/>
      <c r="Q315" s="37"/>
      <c r="R315" s="42"/>
      <c r="S315" s="37"/>
      <c r="T315" s="37"/>
      <c r="U315" s="25"/>
      <c r="V315" s="29"/>
    </row>
    <row r="316">
      <c r="N316" s="31"/>
      <c r="O316" s="37"/>
      <c r="P316" s="37"/>
      <c r="Q316" s="37"/>
      <c r="R316" s="42"/>
      <c r="S316" s="37"/>
      <c r="T316" s="37"/>
      <c r="U316" s="1"/>
      <c r="V316" s="29"/>
    </row>
    <row r="317">
      <c r="N317" s="31"/>
      <c r="O317" s="37"/>
      <c r="P317" s="37"/>
      <c r="Q317" s="37"/>
      <c r="R317" s="42"/>
      <c r="S317" s="37"/>
      <c r="T317" s="37"/>
      <c r="U317" s="1"/>
      <c r="V317" s="29"/>
    </row>
    <row r="318">
      <c r="N318" s="31"/>
      <c r="O318" s="37"/>
      <c r="P318" s="37"/>
      <c r="Q318" s="37"/>
      <c r="R318" s="42"/>
      <c r="S318" s="37"/>
      <c r="T318" s="37"/>
      <c r="U318" s="1"/>
      <c r="V318" s="29"/>
    </row>
    <row r="319">
      <c r="N319" s="31"/>
      <c r="O319" s="37"/>
      <c r="P319" s="37"/>
      <c r="Q319" s="37"/>
      <c r="R319" s="42"/>
      <c r="S319" s="37"/>
      <c r="T319" s="37"/>
      <c r="U319" s="1"/>
      <c r="V319" s="29"/>
    </row>
    <row r="320">
      <c r="N320" s="31"/>
      <c r="O320" s="37"/>
      <c r="P320" s="37"/>
      <c r="Q320" s="37"/>
      <c r="R320" s="42"/>
      <c r="S320" s="37"/>
      <c r="T320" s="37"/>
      <c r="U320" s="37"/>
      <c r="V320" s="29"/>
    </row>
    <row r="321">
      <c r="N321" s="3"/>
      <c r="O321" s="164"/>
      <c r="P321" s="164"/>
      <c r="Q321" s="164"/>
      <c r="R321" s="164"/>
      <c r="S321" s="164"/>
      <c r="T321" s="164"/>
      <c r="U321" s="1"/>
      <c r="V321" s="8"/>
    </row>
    <row r="322">
      <c r="N322" s="14"/>
      <c r="O322" s="14"/>
      <c r="P322" s="14"/>
      <c r="Q322" s="14"/>
      <c r="R322" s="18"/>
      <c r="S322" s="160"/>
      <c r="T322" s="160"/>
      <c r="U322" s="1"/>
      <c r="V322" s="15"/>
    </row>
    <row r="323">
      <c r="N323" s="15"/>
      <c r="O323" s="15"/>
      <c r="P323" s="15"/>
      <c r="Q323" s="15"/>
      <c r="R323" s="25"/>
      <c r="S323" s="25"/>
      <c r="T323" s="25"/>
      <c r="U323" s="25"/>
      <c r="V323" s="29"/>
    </row>
    <row r="324">
      <c r="N324" s="31"/>
      <c r="O324" s="32"/>
      <c r="P324" s="34"/>
      <c r="Q324" s="1"/>
      <c r="R324" s="42"/>
      <c r="S324" s="1"/>
      <c r="T324" s="37"/>
      <c r="U324" s="1"/>
      <c r="V324" s="48"/>
    </row>
    <row r="325">
      <c r="N325" s="31"/>
      <c r="O325" s="1"/>
      <c r="P325" s="37"/>
      <c r="Q325" s="1"/>
      <c r="R325" s="42"/>
      <c r="S325" s="1"/>
      <c r="T325" s="37"/>
      <c r="U325" s="1"/>
      <c r="V325" s="48"/>
    </row>
    <row r="326">
      <c r="N326" s="31"/>
      <c r="O326" s="1"/>
      <c r="P326" s="37"/>
      <c r="Q326" s="1"/>
      <c r="R326" s="42"/>
      <c r="S326" s="1"/>
      <c r="T326" s="37"/>
      <c r="U326" s="1"/>
      <c r="V326" s="29"/>
    </row>
    <row r="327">
      <c r="N327" s="31"/>
      <c r="O327" s="1"/>
      <c r="P327" s="37"/>
      <c r="Q327" s="1"/>
      <c r="R327" s="42"/>
      <c r="S327" s="1"/>
      <c r="T327" s="37"/>
      <c r="U327" s="1"/>
      <c r="V327" s="48"/>
    </row>
    <row r="328">
      <c r="N328" s="31"/>
      <c r="O328" s="1"/>
      <c r="P328" s="37"/>
      <c r="Q328" s="1"/>
      <c r="R328" s="42"/>
      <c r="S328" s="1"/>
      <c r="T328" s="37"/>
      <c r="U328" s="37"/>
      <c r="V328" s="48"/>
    </row>
    <row r="329">
      <c r="N329" s="31"/>
      <c r="O329" s="1"/>
      <c r="P329" s="37"/>
      <c r="Q329" s="1"/>
      <c r="R329" s="42"/>
      <c r="S329" s="1"/>
      <c r="T329" s="37"/>
      <c r="U329" s="1"/>
      <c r="V329" s="48"/>
    </row>
    <row r="330">
      <c r="N330" s="31"/>
      <c r="O330" s="37"/>
      <c r="P330" s="37"/>
      <c r="Q330" s="37"/>
      <c r="R330" s="42"/>
      <c r="S330" s="37"/>
      <c r="T330" s="37"/>
      <c r="U330" s="1"/>
      <c r="V330" s="29"/>
    </row>
    <row r="331">
      <c r="N331" s="31"/>
      <c r="O331" s="37"/>
      <c r="P331" s="37"/>
      <c r="Q331" s="37"/>
      <c r="R331" s="42"/>
      <c r="S331" s="37"/>
      <c r="T331" s="37"/>
      <c r="U331" s="25"/>
      <c r="V331" s="29"/>
    </row>
    <row r="332">
      <c r="N332" s="31"/>
      <c r="O332" s="37"/>
      <c r="P332" s="37"/>
      <c r="Q332" s="37"/>
      <c r="R332" s="42"/>
      <c r="S332" s="37"/>
      <c r="T332" s="37"/>
      <c r="U332" s="1"/>
      <c r="V332" s="29"/>
    </row>
    <row r="333">
      <c r="N333" s="31"/>
      <c r="O333" s="37"/>
      <c r="P333" s="37"/>
      <c r="Q333" s="37"/>
      <c r="R333" s="42"/>
      <c r="S333" s="37"/>
      <c r="T333" s="37"/>
      <c r="U333" s="1"/>
      <c r="V333" s="29"/>
    </row>
    <row r="334">
      <c r="N334" s="31"/>
      <c r="O334" s="37"/>
      <c r="P334" s="37"/>
      <c r="Q334" s="37"/>
      <c r="R334" s="42"/>
      <c r="S334" s="37"/>
      <c r="T334" s="37"/>
      <c r="U334" s="1"/>
      <c r="V334" s="29"/>
    </row>
    <row r="335">
      <c r="N335" s="31"/>
      <c r="O335" s="37"/>
      <c r="P335" s="37"/>
      <c r="Q335" s="37"/>
      <c r="R335" s="42"/>
      <c r="S335" s="37"/>
      <c r="T335" s="37"/>
      <c r="U335" s="1"/>
      <c r="V335" s="29"/>
    </row>
    <row r="336">
      <c r="N336" s="31"/>
      <c r="O336" s="37"/>
      <c r="P336" s="37"/>
      <c r="Q336" s="37"/>
      <c r="R336" s="42"/>
      <c r="S336" s="37"/>
      <c r="T336" s="37"/>
      <c r="U336" s="37"/>
      <c r="V336" s="29"/>
    </row>
    <row r="337">
      <c r="N337" s="31"/>
      <c r="O337" s="37"/>
      <c r="P337" s="37"/>
      <c r="Q337" s="37"/>
      <c r="R337" s="42"/>
      <c r="S337" s="37"/>
      <c r="T337" s="37"/>
      <c r="U337" s="1"/>
      <c r="V337" s="29"/>
    </row>
    <row r="338">
      <c r="N338" s="31"/>
      <c r="O338" s="37"/>
      <c r="P338" s="37"/>
      <c r="Q338" s="37"/>
      <c r="R338" s="42"/>
      <c r="S338" s="37"/>
      <c r="T338" s="37"/>
      <c r="U338" s="1"/>
      <c r="V338" s="29"/>
    </row>
    <row r="339">
      <c r="N339" s="31"/>
      <c r="O339" s="37"/>
      <c r="P339" s="37"/>
      <c r="Q339" s="37"/>
      <c r="R339" s="42"/>
      <c r="S339" s="37"/>
      <c r="T339" s="37"/>
      <c r="U339" s="25"/>
      <c r="V339" s="29"/>
    </row>
    <row r="340">
      <c r="N340" s="31"/>
      <c r="O340" s="37"/>
      <c r="P340" s="37"/>
      <c r="Q340" s="37"/>
      <c r="R340" s="42"/>
      <c r="S340" s="37"/>
      <c r="T340" s="37"/>
      <c r="U340" s="1"/>
      <c r="V340" s="29"/>
    </row>
    <row r="341">
      <c r="N341" s="3"/>
      <c r="O341" s="164"/>
      <c r="P341" s="164"/>
      <c r="Q341" s="164"/>
      <c r="R341" s="164"/>
      <c r="S341" s="164"/>
      <c r="T341" s="164"/>
      <c r="U341" s="1"/>
      <c r="V341" s="8"/>
    </row>
    <row r="342">
      <c r="N342" s="14"/>
      <c r="O342" s="14"/>
      <c r="P342" s="14"/>
      <c r="Q342" s="14"/>
      <c r="R342" s="18"/>
      <c r="S342" s="160"/>
      <c r="T342" s="160"/>
      <c r="U342" s="1"/>
      <c r="V342" s="15"/>
    </row>
    <row r="343">
      <c r="N343" s="15"/>
      <c r="O343" s="15"/>
      <c r="P343" s="15"/>
      <c r="Q343" s="15"/>
      <c r="R343" s="25"/>
      <c r="S343" s="25"/>
      <c r="T343" s="25"/>
      <c r="U343" s="1"/>
      <c r="V343" s="29"/>
    </row>
    <row r="344">
      <c r="N344" s="31"/>
      <c r="O344" s="32"/>
      <c r="P344" s="34"/>
      <c r="Q344" s="1"/>
      <c r="R344" s="42"/>
      <c r="S344" s="1"/>
      <c r="T344" s="37"/>
      <c r="U344" s="37"/>
      <c r="V344" s="48"/>
    </row>
    <row r="345">
      <c r="N345" s="31"/>
      <c r="O345" s="1"/>
      <c r="P345" s="37"/>
      <c r="Q345" s="1"/>
      <c r="R345" s="42"/>
      <c r="S345" s="1"/>
      <c r="T345" s="37"/>
      <c r="U345" s="1"/>
      <c r="V345" s="48"/>
    </row>
    <row r="346">
      <c r="N346" s="31"/>
      <c r="O346" s="1"/>
      <c r="P346" s="37"/>
      <c r="Q346" s="1"/>
      <c r="R346" s="42"/>
      <c r="S346" s="1"/>
      <c r="T346" s="37"/>
      <c r="U346" s="1"/>
      <c r="V346" s="29"/>
    </row>
    <row r="347">
      <c r="N347" s="31"/>
      <c r="O347" s="1"/>
      <c r="P347" s="37"/>
      <c r="Q347" s="1"/>
      <c r="R347" s="42"/>
      <c r="S347" s="1"/>
      <c r="T347" s="37"/>
      <c r="U347" s="25"/>
      <c r="V347" s="48"/>
    </row>
    <row r="348">
      <c r="N348" s="31"/>
      <c r="O348" s="1"/>
      <c r="P348" s="37"/>
      <c r="Q348" s="1"/>
      <c r="R348" s="42"/>
      <c r="S348" s="1"/>
      <c r="T348" s="37"/>
      <c r="U348" s="1"/>
      <c r="V348" s="48"/>
    </row>
    <row r="349">
      <c r="N349" s="31"/>
      <c r="O349" s="1"/>
      <c r="P349" s="37"/>
      <c r="Q349" s="1"/>
      <c r="R349" s="42"/>
      <c r="S349" s="1"/>
      <c r="T349" s="37"/>
      <c r="U349" s="1"/>
      <c r="V349" s="48"/>
    </row>
    <row r="350">
      <c r="N350" s="31"/>
      <c r="O350" s="37"/>
      <c r="P350" s="37"/>
      <c r="Q350" s="37"/>
      <c r="R350" s="42"/>
      <c r="S350" s="37"/>
      <c r="T350" s="37"/>
      <c r="U350" s="1"/>
      <c r="V350" s="29"/>
    </row>
    <row r="351">
      <c r="N351" s="31"/>
      <c r="O351" s="37"/>
      <c r="P351" s="37"/>
      <c r="Q351" s="37"/>
      <c r="R351" s="42"/>
      <c r="S351" s="37"/>
      <c r="T351" s="37"/>
      <c r="U351" s="1"/>
      <c r="V351" s="29"/>
    </row>
    <row r="352">
      <c r="N352" s="31"/>
      <c r="O352" s="37"/>
      <c r="P352" s="37"/>
      <c r="Q352" s="37"/>
      <c r="R352" s="42"/>
      <c r="S352" s="37"/>
      <c r="T352" s="37"/>
      <c r="U352" s="37"/>
      <c r="V352" s="29"/>
    </row>
    <row r="353">
      <c r="N353" s="31"/>
      <c r="O353" s="37"/>
      <c r="P353" s="37"/>
      <c r="Q353" s="37"/>
      <c r="R353" s="42"/>
      <c r="S353" s="37"/>
      <c r="T353" s="37"/>
      <c r="U353" s="1"/>
      <c r="V353" s="29"/>
    </row>
    <row r="354">
      <c r="N354" s="31"/>
      <c r="O354" s="37"/>
      <c r="P354" s="37"/>
      <c r="Q354" s="37"/>
      <c r="R354" s="42"/>
      <c r="S354" s="37"/>
      <c r="T354" s="37"/>
      <c r="U354" s="1"/>
      <c r="V354" s="29"/>
    </row>
    <row r="355">
      <c r="N355" s="31"/>
      <c r="O355" s="37"/>
      <c r="P355" s="37"/>
      <c r="Q355" s="37"/>
      <c r="R355" s="42"/>
      <c r="S355" s="37"/>
      <c r="T355" s="37"/>
      <c r="U355" s="25"/>
      <c r="V355" s="29"/>
    </row>
    <row r="356">
      <c r="N356" s="31"/>
      <c r="O356" s="37"/>
      <c r="P356" s="37"/>
      <c r="Q356" s="37"/>
      <c r="R356" s="42"/>
      <c r="S356" s="37"/>
      <c r="T356" s="37"/>
      <c r="U356" s="1"/>
      <c r="V356" s="29"/>
    </row>
    <row r="357">
      <c r="N357" s="31"/>
      <c r="O357" s="37"/>
      <c r="P357" s="37"/>
      <c r="Q357" s="37"/>
      <c r="R357" s="42"/>
      <c r="S357" s="37"/>
      <c r="T357" s="37"/>
      <c r="U357" s="1"/>
      <c r="V357" s="29"/>
    </row>
    <row r="358">
      <c r="N358" s="31"/>
      <c r="O358" s="37"/>
      <c r="P358" s="37"/>
      <c r="Q358" s="37"/>
      <c r="R358" s="42"/>
      <c r="S358" s="37"/>
      <c r="T358" s="37"/>
      <c r="U358" s="1"/>
      <c r="V358" s="29"/>
    </row>
    <row r="359">
      <c r="N359" s="31"/>
      <c r="O359" s="37"/>
      <c r="P359" s="37"/>
      <c r="Q359" s="37"/>
      <c r="R359" s="42"/>
      <c r="S359" s="37"/>
      <c r="T359" s="37"/>
      <c r="U359" s="1"/>
      <c r="V359" s="29"/>
    </row>
    <row r="360">
      <c r="N360" s="31"/>
      <c r="O360" s="37"/>
      <c r="P360" s="37"/>
      <c r="Q360" s="37"/>
      <c r="R360" s="42"/>
      <c r="S360" s="37"/>
      <c r="T360" s="37"/>
      <c r="U360" s="37"/>
      <c r="V360" s="29"/>
    </row>
    <row r="361">
      <c r="N361" s="3"/>
      <c r="O361" s="164"/>
      <c r="P361" s="164"/>
      <c r="Q361" s="164"/>
      <c r="R361" s="164"/>
      <c r="S361" s="164"/>
      <c r="T361" s="164"/>
      <c r="U361" s="1"/>
      <c r="V361" s="8"/>
    </row>
    <row r="362">
      <c r="N362" s="14"/>
      <c r="O362" s="14"/>
      <c r="P362" s="14"/>
      <c r="Q362" s="14"/>
      <c r="R362" s="18"/>
      <c r="S362" s="160"/>
      <c r="T362" s="160"/>
      <c r="U362" s="1"/>
      <c r="V362" s="15"/>
    </row>
    <row r="363">
      <c r="N363" s="15"/>
      <c r="O363" s="15"/>
      <c r="P363" s="15"/>
      <c r="Q363" s="15"/>
      <c r="R363" s="25"/>
      <c r="S363" s="25"/>
      <c r="T363" s="25"/>
      <c r="U363" s="25"/>
      <c r="V363" s="29"/>
    </row>
    <row r="364">
      <c r="N364" s="31"/>
      <c r="O364" s="32"/>
      <c r="P364" s="34"/>
      <c r="Q364" s="1"/>
      <c r="R364" s="42"/>
      <c r="S364" s="1"/>
      <c r="T364" s="37"/>
      <c r="U364" s="1"/>
      <c r="V364" s="48"/>
    </row>
    <row r="365">
      <c r="N365" s="31"/>
      <c r="O365" s="1"/>
      <c r="P365" s="37"/>
      <c r="Q365" s="1"/>
      <c r="R365" s="42"/>
      <c r="S365" s="1"/>
      <c r="T365" s="37"/>
      <c r="U365" s="1"/>
      <c r="V365" s="48"/>
    </row>
    <row r="366">
      <c r="N366" s="31"/>
      <c r="O366" s="1"/>
      <c r="P366" s="37"/>
      <c r="Q366" s="1"/>
      <c r="R366" s="42"/>
      <c r="S366" s="1"/>
      <c r="T366" s="37"/>
      <c r="U366" s="1"/>
      <c r="V366" s="29"/>
    </row>
    <row r="367">
      <c r="N367" s="31"/>
      <c r="O367" s="1"/>
      <c r="P367" s="37"/>
      <c r="Q367" s="1"/>
      <c r="R367" s="42"/>
      <c r="S367" s="1"/>
      <c r="T367" s="37"/>
      <c r="U367" s="1"/>
      <c r="V367" s="48"/>
    </row>
    <row r="368">
      <c r="N368" s="31"/>
      <c r="O368" s="1"/>
      <c r="P368" s="37"/>
      <c r="Q368" s="1"/>
      <c r="R368" s="42"/>
      <c r="S368" s="1"/>
      <c r="T368" s="37"/>
      <c r="U368" s="37"/>
      <c r="V368" s="48"/>
    </row>
    <row r="369">
      <c r="N369" s="31"/>
      <c r="O369" s="1"/>
      <c r="P369" s="37"/>
      <c r="Q369" s="1"/>
      <c r="R369" s="42"/>
      <c r="S369" s="1"/>
      <c r="T369" s="37"/>
      <c r="U369" s="1"/>
      <c r="V369" s="48"/>
    </row>
    <row r="370">
      <c r="N370" s="31"/>
      <c r="O370" s="37"/>
      <c r="P370" s="37"/>
      <c r="Q370" s="37"/>
      <c r="R370" s="42"/>
      <c r="S370" s="37"/>
      <c r="T370" s="37"/>
      <c r="U370" s="1"/>
      <c r="V370" s="29"/>
    </row>
    <row r="371">
      <c r="N371" s="31"/>
      <c r="O371" s="37"/>
      <c r="P371" s="37"/>
      <c r="Q371" s="37"/>
      <c r="R371" s="42"/>
      <c r="S371" s="37"/>
      <c r="T371" s="37"/>
      <c r="U371" s="25"/>
      <c r="V371" s="29"/>
    </row>
    <row r="372">
      <c r="N372" s="31"/>
      <c r="O372" s="37"/>
      <c r="P372" s="37"/>
      <c r="Q372" s="37"/>
      <c r="R372" s="42"/>
      <c r="S372" s="37"/>
      <c r="T372" s="37"/>
      <c r="U372" s="1"/>
      <c r="V372" s="29"/>
    </row>
    <row r="373">
      <c r="N373" s="31"/>
      <c r="O373" s="37"/>
      <c r="P373" s="37"/>
      <c r="Q373" s="37"/>
      <c r="R373" s="42"/>
      <c r="S373" s="37"/>
      <c r="T373" s="37"/>
      <c r="U373" s="1"/>
      <c r="V373" s="29"/>
    </row>
    <row r="374">
      <c r="N374" s="31"/>
      <c r="O374" s="37"/>
      <c r="P374" s="37"/>
      <c r="Q374" s="37"/>
      <c r="R374" s="42"/>
      <c r="S374" s="37"/>
      <c r="T374" s="37"/>
      <c r="U374" s="1"/>
      <c r="V374" s="29"/>
    </row>
    <row r="375">
      <c r="N375" s="31"/>
      <c r="O375" s="37"/>
      <c r="P375" s="37"/>
      <c r="Q375" s="37"/>
      <c r="R375" s="42"/>
      <c r="S375" s="37"/>
      <c r="T375" s="37"/>
      <c r="U375" s="1"/>
      <c r="V375" s="29"/>
    </row>
    <row r="376">
      <c r="N376" s="31"/>
      <c r="O376" s="37"/>
      <c r="P376" s="37"/>
      <c r="Q376" s="37"/>
      <c r="R376" s="42"/>
      <c r="S376" s="37"/>
      <c r="T376" s="37"/>
      <c r="U376" s="37"/>
      <c r="V376" s="29"/>
    </row>
    <row r="377">
      <c r="N377" s="31"/>
      <c r="O377" s="37"/>
      <c r="P377" s="37"/>
      <c r="Q377" s="37"/>
      <c r="R377" s="42"/>
      <c r="S377" s="37"/>
      <c r="T377" s="37"/>
      <c r="U377" s="1"/>
      <c r="V377" s="29"/>
    </row>
    <row r="378">
      <c r="N378" s="31"/>
      <c r="O378" s="37"/>
      <c r="P378" s="37"/>
      <c r="Q378" s="37"/>
      <c r="R378" s="42"/>
      <c r="S378" s="37"/>
      <c r="T378" s="37"/>
      <c r="U378" s="1"/>
      <c r="V378" s="29"/>
    </row>
    <row r="379">
      <c r="N379" s="31"/>
      <c r="O379" s="37"/>
      <c r="P379" s="37"/>
      <c r="Q379" s="37"/>
      <c r="R379" s="42"/>
      <c r="S379" s="37"/>
      <c r="T379" s="37"/>
      <c r="U379" s="25"/>
      <c r="V379" s="29"/>
    </row>
    <row r="380">
      <c r="N380" s="31"/>
      <c r="O380" s="37"/>
      <c r="P380" s="37"/>
      <c r="Q380" s="37"/>
      <c r="R380" s="42"/>
      <c r="S380" s="37"/>
      <c r="T380" s="37"/>
      <c r="U380" s="1"/>
      <c r="V380" s="29"/>
    </row>
    <row r="381">
      <c r="N381" s="3"/>
      <c r="O381" s="164"/>
      <c r="P381" s="164"/>
      <c r="Q381" s="164"/>
      <c r="R381" s="164"/>
      <c r="S381" s="164"/>
      <c r="T381" s="164"/>
      <c r="U381" s="1"/>
      <c r="V381" s="8"/>
    </row>
    <row r="382">
      <c r="N382" s="14"/>
      <c r="O382" s="14"/>
      <c r="P382" s="14"/>
      <c r="Q382" s="14"/>
      <c r="R382" s="18"/>
      <c r="S382" s="160"/>
      <c r="T382" s="160"/>
      <c r="U382" s="1"/>
      <c r="V382" s="15"/>
    </row>
    <row r="383">
      <c r="N383" s="15"/>
      <c r="O383" s="15"/>
      <c r="P383" s="15"/>
      <c r="Q383" s="15"/>
      <c r="R383" s="25"/>
      <c r="S383" s="25"/>
      <c r="T383" s="25"/>
      <c r="U383" s="1"/>
      <c r="V383" s="29"/>
    </row>
    <row r="384">
      <c r="N384" s="31"/>
      <c r="O384" s="32"/>
      <c r="P384" s="34"/>
      <c r="Q384" s="1"/>
      <c r="R384" s="42"/>
      <c r="S384" s="1"/>
      <c r="T384" s="37"/>
      <c r="U384" s="37"/>
      <c r="V384" s="48"/>
    </row>
    <row r="385">
      <c r="N385" s="31"/>
      <c r="O385" s="1"/>
      <c r="P385" s="37"/>
      <c r="Q385" s="1"/>
      <c r="R385" s="42"/>
      <c r="S385" s="1"/>
      <c r="T385" s="37"/>
      <c r="U385" s="1"/>
      <c r="V385" s="48"/>
    </row>
    <row r="386">
      <c r="N386" s="31"/>
      <c r="O386" s="1"/>
      <c r="P386" s="37"/>
      <c r="Q386" s="1"/>
      <c r="R386" s="42"/>
      <c r="S386" s="1"/>
      <c r="T386" s="37"/>
      <c r="U386" s="1"/>
      <c r="V386" s="29"/>
    </row>
    <row r="387">
      <c r="N387" s="31"/>
      <c r="O387" s="1"/>
      <c r="P387" s="37"/>
      <c r="Q387" s="1"/>
      <c r="R387" s="42"/>
      <c r="S387" s="1"/>
      <c r="T387" s="37"/>
      <c r="U387" s="25"/>
      <c r="V387" s="48"/>
    </row>
    <row r="388">
      <c r="N388" s="31"/>
      <c r="O388" s="1"/>
      <c r="P388" s="37"/>
      <c r="Q388" s="1"/>
      <c r="R388" s="42"/>
      <c r="S388" s="1"/>
      <c r="T388" s="37"/>
      <c r="U388" s="1"/>
      <c r="V388" s="48"/>
    </row>
    <row r="389">
      <c r="N389" s="31"/>
      <c r="O389" s="1"/>
      <c r="P389" s="37"/>
      <c r="Q389" s="1"/>
      <c r="R389" s="42"/>
      <c r="S389" s="1"/>
      <c r="T389" s="37"/>
      <c r="U389" s="1"/>
      <c r="V389" s="48"/>
    </row>
    <row r="390">
      <c r="N390" s="31"/>
      <c r="O390" s="37"/>
      <c r="P390" s="37"/>
      <c r="Q390" s="37"/>
      <c r="R390" s="42"/>
      <c r="S390" s="37"/>
      <c r="T390" s="37"/>
      <c r="U390" s="1"/>
      <c r="V390" s="29"/>
    </row>
    <row r="391">
      <c r="N391" s="31"/>
      <c r="O391" s="37"/>
      <c r="P391" s="37"/>
      <c r="Q391" s="37"/>
      <c r="R391" s="42"/>
      <c r="S391" s="37"/>
      <c r="T391" s="37"/>
      <c r="U391" s="1"/>
      <c r="V391" s="29"/>
    </row>
    <row r="392">
      <c r="N392" s="31"/>
      <c r="O392" s="37"/>
      <c r="P392" s="37"/>
      <c r="Q392" s="37"/>
      <c r="R392" s="42"/>
      <c r="S392" s="37"/>
      <c r="T392" s="37"/>
      <c r="U392" s="37"/>
      <c r="V392" s="29"/>
    </row>
    <row r="393">
      <c r="N393" s="31"/>
      <c r="O393" s="37"/>
      <c r="P393" s="37"/>
      <c r="Q393" s="37"/>
      <c r="R393" s="42"/>
      <c r="S393" s="37"/>
      <c r="T393" s="37"/>
      <c r="U393" s="1"/>
      <c r="V393" s="29"/>
    </row>
    <row r="394">
      <c r="N394" s="31"/>
      <c r="O394" s="37"/>
      <c r="P394" s="37"/>
      <c r="Q394" s="37"/>
      <c r="R394" s="42"/>
      <c r="S394" s="37"/>
      <c r="T394" s="37"/>
      <c r="U394" s="1"/>
      <c r="V394" s="29"/>
    </row>
    <row r="395">
      <c r="N395" s="31"/>
      <c r="O395" s="37"/>
      <c r="P395" s="37"/>
      <c r="Q395" s="37"/>
      <c r="R395" s="42"/>
      <c r="S395" s="37"/>
      <c r="T395" s="37"/>
      <c r="U395" s="25"/>
      <c r="V395" s="29"/>
    </row>
    <row r="396">
      <c r="N396" s="31"/>
      <c r="O396" s="37"/>
      <c r="P396" s="37"/>
      <c r="Q396" s="37"/>
      <c r="R396" s="42"/>
      <c r="S396" s="37"/>
      <c r="T396" s="37"/>
      <c r="U396" s="1"/>
      <c r="V396" s="29"/>
    </row>
    <row r="397">
      <c r="N397" s="31"/>
      <c r="O397" s="37"/>
      <c r="P397" s="37"/>
      <c r="Q397" s="37"/>
      <c r="R397" s="42"/>
      <c r="S397" s="37"/>
      <c r="T397" s="37"/>
      <c r="U397" s="1"/>
      <c r="V397" s="29"/>
    </row>
    <row r="398">
      <c r="N398" s="31"/>
      <c r="O398" s="37"/>
      <c r="P398" s="37"/>
      <c r="Q398" s="37"/>
      <c r="R398" s="42"/>
      <c r="S398" s="37"/>
      <c r="T398" s="37"/>
      <c r="U398" s="1"/>
      <c r="V398" s="29"/>
    </row>
    <row r="399">
      <c r="N399" s="31"/>
      <c r="O399" s="37"/>
      <c r="P399" s="37"/>
      <c r="Q399" s="37"/>
      <c r="R399" s="42"/>
      <c r="S399" s="37"/>
      <c r="T399" s="37"/>
      <c r="U399" s="1"/>
      <c r="V399" s="29"/>
    </row>
    <row r="400">
      <c r="N400" s="31"/>
      <c r="O400" s="37"/>
      <c r="P400" s="37"/>
      <c r="Q400" s="37"/>
      <c r="R400" s="42"/>
      <c r="S400" s="37"/>
      <c r="T400" s="37"/>
      <c r="U400" s="37"/>
      <c r="V400" s="29"/>
    </row>
    <row r="401">
      <c r="N401" s="3"/>
      <c r="O401" s="164"/>
      <c r="P401" s="164"/>
      <c r="Q401" s="164"/>
      <c r="R401" s="164"/>
      <c r="S401" s="164"/>
      <c r="T401" s="164"/>
      <c r="U401" s="1"/>
      <c r="V401" s="8"/>
    </row>
    <row r="402">
      <c r="N402" s="14"/>
      <c r="O402" s="14"/>
      <c r="P402" s="14"/>
      <c r="Q402" s="14"/>
      <c r="R402" s="18"/>
      <c r="S402" s="160"/>
      <c r="T402" s="160"/>
      <c r="U402" s="1"/>
      <c r="V402" s="15"/>
    </row>
    <row r="403">
      <c r="N403" s="15"/>
      <c r="O403" s="15"/>
      <c r="P403" s="15"/>
      <c r="Q403" s="15"/>
      <c r="R403" s="25"/>
      <c r="S403" s="25"/>
      <c r="T403" s="25"/>
      <c r="U403" s="25"/>
      <c r="V403" s="29"/>
    </row>
    <row r="404">
      <c r="N404" s="31"/>
      <c r="O404" s="32"/>
      <c r="P404" s="34"/>
      <c r="Q404" s="1"/>
      <c r="R404" s="42"/>
      <c r="S404" s="1"/>
      <c r="T404" s="37"/>
      <c r="U404" s="1"/>
      <c r="V404" s="48"/>
    </row>
    <row r="405">
      <c r="N405" s="31"/>
      <c r="O405" s="1"/>
      <c r="P405" s="37"/>
      <c r="Q405" s="1"/>
      <c r="R405" s="42"/>
      <c r="S405" s="1"/>
      <c r="T405" s="37"/>
      <c r="U405" s="1"/>
      <c r="V405" s="48"/>
    </row>
    <row r="406">
      <c r="N406" s="31"/>
      <c r="O406" s="1"/>
      <c r="P406" s="37"/>
      <c r="Q406" s="1"/>
      <c r="R406" s="42"/>
      <c r="S406" s="1"/>
      <c r="T406" s="37"/>
      <c r="U406" s="1"/>
      <c r="V406" s="29"/>
    </row>
    <row r="407">
      <c r="N407" s="31"/>
      <c r="O407" s="1"/>
      <c r="P407" s="37"/>
      <c r="Q407" s="1"/>
      <c r="R407" s="42"/>
      <c r="S407" s="1"/>
      <c r="T407" s="37"/>
      <c r="U407" s="1"/>
      <c r="V407" s="48"/>
    </row>
    <row r="408">
      <c r="N408" s="31"/>
      <c r="O408" s="1"/>
      <c r="P408" s="37"/>
      <c r="Q408" s="1"/>
      <c r="R408" s="42"/>
      <c r="S408" s="1"/>
      <c r="T408" s="37"/>
      <c r="U408" s="37"/>
      <c r="V408" s="48"/>
    </row>
    <row r="409">
      <c r="N409" s="31"/>
      <c r="O409" s="1"/>
      <c r="P409" s="37"/>
      <c r="Q409" s="1"/>
      <c r="R409" s="42"/>
      <c r="S409" s="1"/>
      <c r="T409" s="37"/>
      <c r="U409" s="1"/>
      <c r="V409" s="48"/>
    </row>
    <row r="410">
      <c r="N410" s="31"/>
      <c r="O410" s="37"/>
      <c r="P410" s="37"/>
      <c r="Q410" s="37"/>
      <c r="R410" s="42"/>
      <c r="S410" s="37"/>
      <c r="T410" s="37"/>
      <c r="U410" s="1"/>
      <c r="V410" s="29"/>
    </row>
    <row r="411">
      <c r="N411" s="31"/>
      <c r="O411" s="37"/>
      <c r="P411" s="37"/>
      <c r="Q411" s="37"/>
      <c r="R411" s="42"/>
      <c r="S411" s="37"/>
      <c r="T411" s="37"/>
      <c r="U411" s="25"/>
      <c r="V411" s="29"/>
    </row>
    <row r="412">
      <c r="N412" s="31"/>
      <c r="O412" s="37"/>
      <c r="P412" s="37"/>
      <c r="Q412" s="37"/>
      <c r="R412" s="42"/>
      <c r="S412" s="37"/>
      <c r="T412" s="37"/>
      <c r="U412" s="1"/>
      <c r="V412" s="29"/>
    </row>
    <row r="413">
      <c r="N413" s="31"/>
      <c r="O413" s="37"/>
      <c r="P413" s="37"/>
      <c r="Q413" s="37"/>
      <c r="R413" s="42"/>
      <c r="S413" s="37"/>
      <c r="T413" s="37"/>
      <c r="U413" s="1"/>
      <c r="V413" s="29"/>
    </row>
    <row r="414">
      <c r="N414" s="31"/>
      <c r="O414" s="37"/>
      <c r="P414" s="37"/>
      <c r="Q414" s="37"/>
      <c r="R414" s="42"/>
      <c r="S414" s="37"/>
      <c r="T414" s="37"/>
      <c r="U414" s="1"/>
      <c r="V414" s="29"/>
    </row>
    <row r="415">
      <c r="N415" s="31"/>
      <c r="O415" s="37"/>
      <c r="P415" s="37"/>
      <c r="Q415" s="37"/>
      <c r="R415" s="42"/>
      <c r="S415" s="37"/>
      <c r="T415" s="37"/>
      <c r="U415" s="1"/>
      <c r="V415" s="29"/>
    </row>
    <row r="416">
      <c r="N416" s="31"/>
      <c r="O416" s="37"/>
      <c r="P416" s="37"/>
      <c r="Q416" s="37"/>
      <c r="R416" s="42"/>
      <c r="S416" s="37"/>
      <c r="T416" s="37"/>
      <c r="U416" s="37"/>
      <c r="V416" s="29"/>
    </row>
    <row r="417">
      <c r="N417" s="31"/>
      <c r="O417" s="37"/>
      <c r="P417" s="37"/>
      <c r="Q417" s="37"/>
      <c r="R417" s="42"/>
      <c r="S417" s="37"/>
      <c r="T417" s="37"/>
      <c r="U417" s="1"/>
      <c r="V417" s="29"/>
    </row>
    <row r="418">
      <c r="N418" s="31"/>
      <c r="O418" s="37"/>
      <c r="P418" s="37"/>
      <c r="Q418" s="37"/>
      <c r="R418" s="42"/>
      <c r="S418" s="37"/>
      <c r="T418" s="37"/>
      <c r="U418" s="1"/>
      <c r="V418" s="29"/>
    </row>
    <row r="419">
      <c r="N419" s="31"/>
      <c r="O419" s="37"/>
      <c r="P419" s="37"/>
      <c r="Q419" s="37"/>
      <c r="R419" s="42"/>
      <c r="S419" s="37"/>
      <c r="T419" s="37"/>
      <c r="U419" s="25"/>
      <c r="V419" s="29"/>
    </row>
    <row r="420">
      <c r="N420" s="31"/>
      <c r="O420" s="37"/>
      <c r="P420" s="37"/>
      <c r="Q420" s="37"/>
      <c r="R420" s="42"/>
      <c r="S420" s="37"/>
      <c r="T420" s="37"/>
      <c r="U420" s="1"/>
      <c r="V420" s="29"/>
    </row>
    <row r="421">
      <c r="N421" s="3"/>
      <c r="O421" s="164"/>
      <c r="P421" s="164"/>
      <c r="Q421" s="164"/>
      <c r="R421" s="164"/>
      <c r="S421" s="164"/>
      <c r="T421" s="164"/>
      <c r="U421" s="1"/>
      <c r="V421" s="8"/>
    </row>
    <row r="422">
      <c r="N422" s="14"/>
      <c r="O422" s="14"/>
      <c r="P422" s="14"/>
      <c r="Q422" s="14"/>
      <c r="R422" s="18"/>
      <c r="S422" s="160"/>
      <c r="T422" s="160"/>
      <c r="U422" s="1"/>
      <c r="V422" s="15"/>
    </row>
    <row r="423">
      <c r="N423" s="15"/>
      <c r="O423" s="15"/>
      <c r="P423" s="15"/>
      <c r="Q423" s="15"/>
      <c r="R423" s="25"/>
      <c r="S423" s="25"/>
      <c r="T423" s="25"/>
      <c r="U423" s="1"/>
      <c r="V423" s="29"/>
    </row>
    <row r="424">
      <c r="N424" s="31"/>
      <c r="O424" s="32"/>
      <c r="P424" s="34"/>
      <c r="Q424" s="1"/>
      <c r="R424" s="42"/>
      <c r="S424" s="1"/>
      <c r="T424" s="37"/>
      <c r="U424" s="37"/>
      <c r="V424" s="48"/>
    </row>
    <row r="425">
      <c r="N425" s="31"/>
      <c r="O425" s="1"/>
      <c r="P425" s="37"/>
      <c r="Q425" s="1"/>
      <c r="R425" s="42"/>
      <c r="S425" s="1"/>
      <c r="T425" s="37"/>
      <c r="U425" s="1"/>
      <c r="V425" s="48"/>
    </row>
    <row r="426">
      <c r="N426" s="31"/>
      <c r="O426" s="1"/>
      <c r="P426" s="37"/>
      <c r="Q426" s="1"/>
      <c r="R426" s="42"/>
      <c r="S426" s="1"/>
      <c r="T426" s="37"/>
      <c r="U426" s="1"/>
      <c r="V426" s="29"/>
    </row>
    <row r="427">
      <c r="N427" s="31"/>
      <c r="O427" s="1"/>
      <c r="P427" s="37"/>
      <c r="Q427" s="1"/>
      <c r="R427" s="42"/>
      <c r="S427" s="1"/>
      <c r="T427" s="37"/>
      <c r="U427" s="25"/>
      <c r="V427" s="48"/>
    </row>
    <row r="428">
      <c r="N428" s="31"/>
      <c r="O428" s="1"/>
      <c r="P428" s="37"/>
      <c r="Q428" s="1"/>
      <c r="R428" s="42"/>
      <c r="S428" s="1"/>
      <c r="T428" s="37"/>
      <c r="U428" s="1"/>
      <c r="V428" s="48"/>
    </row>
    <row r="429">
      <c r="N429" s="31"/>
      <c r="O429" s="1"/>
      <c r="P429" s="37"/>
      <c r="Q429" s="1"/>
      <c r="R429" s="42"/>
      <c r="S429" s="1"/>
      <c r="T429" s="37"/>
      <c r="U429" s="1"/>
      <c r="V429" s="48"/>
    </row>
    <row r="430">
      <c r="N430" s="31"/>
      <c r="O430" s="37"/>
      <c r="P430" s="37"/>
      <c r="Q430" s="37"/>
      <c r="R430" s="42"/>
      <c r="S430" s="37"/>
      <c r="T430" s="37"/>
      <c r="U430" s="1"/>
      <c r="V430" s="29"/>
    </row>
    <row r="431">
      <c r="N431" s="31"/>
      <c r="O431" s="37"/>
      <c r="P431" s="37"/>
      <c r="Q431" s="37"/>
      <c r="R431" s="42"/>
      <c r="S431" s="37"/>
      <c r="T431" s="37"/>
      <c r="U431" s="1"/>
      <c r="V431" s="29"/>
    </row>
    <row r="432">
      <c r="N432" s="31"/>
      <c r="O432" s="37"/>
      <c r="P432" s="37"/>
      <c r="Q432" s="37"/>
      <c r="R432" s="42"/>
      <c r="S432" s="37"/>
      <c r="T432" s="37"/>
      <c r="U432" s="37"/>
      <c r="V432" s="29"/>
    </row>
    <row r="433">
      <c r="N433" s="31"/>
      <c r="O433" s="37"/>
      <c r="P433" s="37"/>
      <c r="Q433" s="37"/>
      <c r="R433" s="42"/>
      <c r="S433" s="37"/>
      <c r="T433" s="37"/>
      <c r="U433" s="1"/>
      <c r="V433" s="29"/>
    </row>
    <row r="434">
      <c r="N434" s="31"/>
      <c r="O434" s="37"/>
      <c r="P434" s="37"/>
      <c r="Q434" s="37"/>
      <c r="R434" s="42"/>
      <c r="S434" s="37"/>
      <c r="T434" s="37"/>
      <c r="U434" s="1"/>
      <c r="V434" s="29"/>
    </row>
    <row r="435">
      <c r="N435" s="31"/>
      <c r="O435" s="37"/>
      <c r="P435" s="37"/>
      <c r="Q435" s="37"/>
      <c r="R435" s="42"/>
      <c r="S435" s="37"/>
      <c r="T435" s="37"/>
      <c r="U435" s="25"/>
      <c r="V435" s="29"/>
    </row>
    <row r="436">
      <c r="N436" s="31"/>
      <c r="O436" s="37"/>
      <c r="P436" s="37"/>
      <c r="Q436" s="37"/>
      <c r="R436" s="42"/>
      <c r="S436" s="37"/>
      <c r="T436" s="37"/>
      <c r="U436" s="1"/>
      <c r="V436" s="29"/>
    </row>
    <row r="437">
      <c r="N437" s="31"/>
      <c r="O437" s="37"/>
      <c r="P437" s="37"/>
      <c r="Q437" s="37"/>
      <c r="R437" s="42"/>
      <c r="S437" s="37"/>
      <c r="T437" s="37"/>
      <c r="U437" s="1"/>
      <c r="V437" s="29"/>
    </row>
    <row r="438">
      <c r="N438" s="31"/>
      <c r="O438" s="37"/>
      <c r="P438" s="37"/>
      <c r="Q438" s="37"/>
      <c r="R438" s="42"/>
      <c r="S438" s="37"/>
      <c r="T438" s="37"/>
      <c r="U438" s="1"/>
      <c r="V438" s="29"/>
    </row>
    <row r="439">
      <c r="N439" s="31"/>
      <c r="O439" s="37"/>
      <c r="P439" s="37"/>
      <c r="Q439" s="37"/>
      <c r="R439" s="42"/>
      <c r="S439" s="37"/>
      <c r="T439" s="37"/>
      <c r="U439" s="1"/>
      <c r="V439" s="29"/>
    </row>
    <row r="440">
      <c r="N440" s="31"/>
      <c r="O440" s="37"/>
      <c r="P440" s="37"/>
      <c r="Q440" s="37"/>
      <c r="R440" s="42"/>
      <c r="S440" s="37"/>
      <c r="T440" s="37"/>
      <c r="U440" s="37"/>
      <c r="V440" s="29"/>
    </row>
    <row r="441">
      <c r="N441" s="3"/>
      <c r="O441" s="164"/>
      <c r="P441" s="164"/>
      <c r="Q441" s="164"/>
      <c r="R441" s="164"/>
      <c r="S441" s="164"/>
      <c r="T441" s="164"/>
      <c r="U441" s="1"/>
      <c r="V441" s="8"/>
    </row>
    <row r="442">
      <c r="N442" s="14"/>
      <c r="O442" s="14"/>
      <c r="P442" s="14"/>
      <c r="Q442" s="14"/>
      <c r="R442" s="18"/>
      <c r="S442" s="160"/>
      <c r="T442" s="160"/>
      <c r="U442" s="1"/>
      <c r="V442" s="15"/>
    </row>
    <row r="443">
      <c r="N443" s="15"/>
      <c r="O443" s="15"/>
      <c r="P443" s="15"/>
      <c r="Q443" s="15"/>
      <c r="R443" s="25"/>
      <c r="S443" s="25"/>
      <c r="T443" s="25"/>
      <c r="U443" s="25"/>
      <c r="V443" s="29"/>
    </row>
    <row r="444">
      <c r="N444" s="31"/>
      <c r="O444" s="32"/>
      <c r="P444" s="34"/>
      <c r="Q444" s="1"/>
      <c r="R444" s="42"/>
      <c r="S444" s="1"/>
      <c r="T444" s="37"/>
      <c r="U444" s="1"/>
      <c r="V444" s="48"/>
    </row>
    <row r="445">
      <c r="N445" s="31"/>
      <c r="O445" s="1"/>
      <c r="P445" s="37"/>
      <c r="Q445" s="1"/>
      <c r="R445" s="42"/>
      <c r="S445" s="1"/>
      <c r="T445" s="37"/>
      <c r="U445" s="1"/>
      <c r="V445" s="48"/>
    </row>
    <row r="446">
      <c r="N446" s="31"/>
      <c r="O446" s="1"/>
      <c r="P446" s="37"/>
      <c r="Q446" s="1"/>
      <c r="R446" s="42"/>
      <c r="S446" s="1"/>
      <c r="T446" s="37"/>
      <c r="U446" s="1"/>
      <c r="V446" s="29"/>
    </row>
    <row r="447">
      <c r="N447" s="31"/>
      <c r="O447" s="1"/>
      <c r="P447" s="37"/>
      <c r="Q447" s="1"/>
      <c r="R447" s="42"/>
      <c r="S447" s="1"/>
      <c r="T447" s="37"/>
      <c r="U447" s="1"/>
      <c r="V447" s="48"/>
    </row>
    <row r="448">
      <c r="N448" s="31"/>
      <c r="O448" s="1"/>
      <c r="P448" s="37"/>
      <c r="Q448" s="1"/>
      <c r="R448" s="42"/>
      <c r="S448" s="1"/>
      <c r="T448" s="37"/>
      <c r="U448" s="37"/>
      <c r="V448" s="48"/>
    </row>
    <row r="449">
      <c r="N449" s="31"/>
      <c r="O449" s="1"/>
      <c r="P449" s="37"/>
      <c r="Q449" s="1"/>
      <c r="R449" s="42"/>
      <c r="S449" s="1"/>
      <c r="T449" s="37"/>
      <c r="U449" s="1"/>
      <c r="V449" s="48"/>
    </row>
    <row r="450">
      <c r="N450" s="31"/>
      <c r="O450" s="37"/>
      <c r="P450" s="37"/>
      <c r="Q450" s="37"/>
      <c r="R450" s="42"/>
      <c r="S450" s="37"/>
      <c r="T450" s="37"/>
      <c r="U450" s="1"/>
      <c r="V450" s="29"/>
    </row>
    <row r="451">
      <c r="N451" s="31"/>
      <c r="O451" s="37"/>
      <c r="P451" s="37"/>
      <c r="Q451" s="37"/>
      <c r="R451" s="42"/>
      <c r="S451" s="37"/>
      <c r="T451" s="37"/>
      <c r="U451" s="25"/>
      <c r="V451" s="29"/>
    </row>
    <row r="452">
      <c r="N452" s="31"/>
      <c r="O452" s="37"/>
      <c r="P452" s="37"/>
      <c r="Q452" s="37"/>
      <c r="R452" s="42"/>
      <c r="S452" s="37"/>
      <c r="T452" s="37"/>
      <c r="U452" s="1"/>
      <c r="V452" s="29"/>
    </row>
    <row r="453">
      <c r="N453" s="31"/>
      <c r="O453" s="37"/>
      <c r="P453" s="37"/>
      <c r="Q453" s="37"/>
      <c r="R453" s="42"/>
      <c r="S453" s="37"/>
      <c r="T453" s="37"/>
      <c r="U453" s="1"/>
      <c r="V453" s="29"/>
    </row>
    <row r="454">
      <c r="N454" s="31"/>
      <c r="O454" s="37"/>
      <c r="P454" s="37"/>
      <c r="Q454" s="37"/>
      <c r="R454" s="42"/>
      <c r="S454" s="37"/>
      <c r="T454" s="37"/>
      <c r="U454" s="1"/>
      <c r="V454" s="29"/>
    </row>
    <row r="455">
      <c r="N455" s="31"/>
      <c r="O455" s="37"/>
      <c r="P455" s="37"/>
      <c r="Q455" s="37"/>
      <c r="R455" s="42"/>
      <c r="S455" s="37"/>
      <c r="T455" s="37"/>
      <c r="U455" s="1"/>
      <c r="V455" s="29"/>
    </row>
    <row r="456">
      <c r="N456" s="31"/>
      <c r="O456" s="37"/>
      <c r="P456" s="37"/>
      <c r="Q456" s="37"/>
      <c r="R456" s="42"/>
      <c r="S456" s="37"/>
      <c r="T456" s="37"/>
      <c r="U456" s="37"/>
      <c r="V456" s="29"/>
    </row>
    <row r="457">
      <c r="N457" s="31"/>
      <c r="O457" s="37"/>
      <c r="P457" s="37"/>
      <c r="Q457" s="37"/>
      <c r="R457" s="42"/>
      <c r="S457" s="37"/>
      <c r="T457" s="37"/>
      <c r="U457" s="1"/>
      <c r="V457" s="29"/>
    </row>
    <row r="458">
      <c r="N458" s="31"/>
      <c r="O458" s="37"/>
      <c r="P458" s="37"/>
      <c r="Q458" s="37"/>
      <c r="R458" s="42"/>
      <c r="S458" s="37"/>
      <c r="T458" s="37"/>
      <c r="U458" s="1"/>
      <c r="V458" s="29"/>
    </row>
    <row r="459">
      <c r="N459" s="31"/>
      <c r="O459" s="37"/>
      <c r="P459" s="37"/>
      <c r="Q459" s="37"/>
      <c r="R459" s="42"/>
      <c r="S459" s="37"/>
      <c r="T459" s="37"/>
      <c r="U459" s="25"/>
      <c r="V459" s="29"/>
    </row>
    <row r="460">
      <c r="N460" s="31"/>
      <c r="O460" s="37"/>
      <c r="P460" s="37"/>
      <c r="Q460" s="37"/>
      <c r="R460" s="42"/>
      <c r="S460" s="37"/>
      <c r="T460" s="37"/>
      <c r="U460" s="1"/>
      <c r="V460" s="29"/>
    </row>
    <row r="461">
      <c r="N461" s="3"/>
      <c r="O461" s="164"/>
      <c r="P461" s="164"/>
      <c r="Q461" s="164"/>
      <c r="R461" s="164"/>
      <c r="S461" s="164"/>
      <c r="T461" s="164"/>
      <c r="U461" s="1"/>
      <c r="V461" s="8"/>
    </row>
    <row r="462">
      <c r="N462" s="14"/>
      <c r="O462" s="14"/>
      <c r="P462" s="14"/>
      <c r="Q462" s="14"/>
      <c r="R462" s="18"/>
      <c r="S462" s="160"/>
      <c r="T462" s="160"/>
      <c r="U462" s="1"/>
      <c r="V462" s="15"/>
    </row>
    <row r="463">
      <c r="N463" s="15"/>
      <c r="O463" s="15"/>
      <c r="P463" s="15"/>
      <c r="Q463" s="15"/>
      <c r="R463" s="25"/>
      <c r="S463" s="25"/>
      <c r="T463" s="25"/>
      <c r="U463" s="1"/>
      <c r="V463" s="29"/>
    </row>
    <row r="464">
      <c r="N464" s="31"/>
      <c r="O464" s="32"/>
      <c r="P464" s="34"/>
      <c r="Q464" s="1"/>
      <c r="R464" s="42"/>
      <c r="S464" s="1"/>
      <c r="T464" s="37"/>
      <c r="U464" s="37"/>
      <c r="V464" s="48"/>
    </row>
    <row r="465">
      <c r="N465" s="31"/>
      <c r="O465" s="1"/>
      <c r="P465" s="37"/>
      <c r="Q465" s="1"/>
      <c r="R465" s="42"/>
      <c r="S465" s="1"/>
      <c r="T465" s="37"/>
      <c r="U465" s="1"/>
      <c r="V465" s="48"/>
    </row>
    <row r="466">
      <c r="N466" s="31"/>
      <c r="O466" s="1"/>
      <c r="P466" s="37"/>
      <c r="Q466" s="1"/>
      <c r="R466" s="42"/>
      <c r="S466" s="1"/>
      <c r="T466" s="37"/>
      <c r="U466" s="1"/>
      <c r="V466" s="29"/>
    </row>
    <row r="467">
      <c r="N467" s="31"/>
      <c r="O467" s="1"/>
      <c r="P467" s="37"/>
      <c r="Q467" s="1"/>
      <c r="R467" s="42"/>
      <c r="S467" s="1"/>
      <c r="T467" s="37"/>
      <c r="U467" s="25"/>
      <c r="V467" s="48"/>
    </row>
    <row r="468">
      <c r="N468" s="31"/>
      <c r="O468" s="1"/>
      <c r="P468" s="37"/>
      <c r="Q468" s="1"/>
      <c r="R468" s="42"/>
      <c r="S468" s="1"/>
      <c r="T468" s="37"/>
      <c r="U468" s="1"/>
      <c r="V468" s="48"/>
    </row>
    <row r="469">
      <c r="N469" s="31"/>
      <c r="O469" s="1"/>
      <c r="P469" s="37"/>
      <c r="Q469" s="1"/>
      <c r="R469" s="42"/>
      <c r="S469" s="1"/>
      <c r="T469" s="37"/>
      <c r="U469" s="1"/>
      <c r="V469" s="48"/>
    </row>
    <row r="470">
      <c r="N470" s="31"/>
      <c r="O470" s="37"/>
      <c r="P470" s="37"/>
      <c r="Q470" s="37"/>
      <c r="R470" s="42"/>
      <c r="S470" s="37"/>
      <c r="T470" s="37"/>
      <c r="U470" s="1"/>
      <c r="V470" s="29"/>
    </row>
    <row r="471">
      <c r="N471" s="31"/>
      <c r="O471" s="37"/>
      <c r="P471" s="37"/>
      <c r="Q471" s="37"/>
      <c r="R471" s="42"/>
      <c r="S471" s="37"/>
      <c r="T471" s="37"/>
      <c r="U471" s="1"/>
      <c r="V471" s="29"/>
    </row>
    <row r="472">
      <c r="N472" s="31"/>
      <c r="O472" s="37"/>
      <c r="P472" s="37"/>
      <c r="Q472" s="37"/>
      <c r="R472" s="42"/>
      <c r="S472" s="37"/>
      <c r="T472" s="37"/>
      <c r="U472" s="37"/>
      <c r="V472" s="29"/>
    </row>
    <row r="473">
      <c r="N473" s="31"/>
      <c r="O473" s="37"/>
      <c r="P473" s="37"/>
      <c r="Q473" s="37"/>
      <c r="R473" s="42"/>
      <c r="S473" s="37"/>
      <c r="T473" s="37"/>
      <c r="U473" s="1"/>
      <c r="V473" s="29"/>
    </row>
    <row r="474">
      <c r="N474" s="31"/>
      <c r="O474" s="37"/>
      <c r="P474" s="37"/>
      <c r="Q474" s="37"/>
      <c r="R474" s="42"/>
      <c r="S474" s="37"/>
      <c r="T474" s="37"/>
      <c r="U474" s="1"/>
      <c r="V474" s="29"/>
    </row>
    <row r="475">
      <c r="N475" s="31"/>
      <c r="O475" s="37"/>
      <c r="P475" s="37"/>
      <c r="Q475" s="37"/>
      <c r="R475" s="42"/>
      <c r="S475" s="37"/>
      <c r="T475" s="37"/>
      <c r="U475" s="25"/>
      <c r="V475" s="29"/>
    </row>
    <row r="476">
      <c r="N476" s="31"/>
      <c r="O476" s="37"/>
      <c r="P476" s="37"/>
      <c r="Q476" s="37"/>
      <c r="R476" s="42"/>
      <c r="S476" s="37"/>
      <c r="T476" s="37"/>
      <c r="U476" s="1"/>
      <c r="V476" s="29"/>
    </row>
    <row r="477">
      <c r="N477" s="31"/>
      <c r="O477" s="37"/>
      <c r="P477" s="37"/>
      <c r="Q477" s="37"/>
      <c r="R477" s="42"/>
      <c r="S477" s="37"/>
      <c r="T477" s="37"/>
      <c r="U477" s="1"/>
      <c r="V477" s="29"/>
    </row>
    <row r="478">
      <c r="N478" s="31"/>
      <c r="O478" s="37"/>
      <c r="P478" s="37"/>
      <c r="Q478" s="37"/>
      <c r="R478" s="42"/>
      <c r="S478" s="37"/>
      <c r="T478" s="37"/>
      <c r="U478" s="1"/>
      <c r="V478" s="29"/>
    </row>
    <row r="479">
      <c r="N479" s="31"/>
      <c r="O479" s="37"/>
      <c r="P479" s="37"/>
      <c r="Q479" s="37"/>
      <c r="R479" s="42"/>
      <c r="S479" s="37"/>
      <c r="T479" s="37"/>
      <c r="U479" s="1"/>
      <c r="V479" s="29"/>
    </row>
    <row r="480">
      <c r="N480" s="31"/>
      <c r="O480" s="37"/>
      <c r="P480" s="37"/>
      <c r="Q480" s="37"/>
      <c r="R480" s="42"/>
      <c r="S480" s="37"/>
      <c r="T480" s="37"/>
      <c r="U480" s="37"/>
      <c r="V480" s="29"/>
    </row>
    <row r="481">
      <c r="N481" s="3"/>
      <c r="O481" s="164"/>
      <c r="P481" s="164"/>
      <c r="Q481" s="164"/>
      <c r="R481" s="164"/>
      <c r="S481" s="164"/>
      <c r="T481" s="164"/>
      <c r="U481" s="1"/>
      <c r="V481" s="8"/>
    </row>
    <row r="482">
      <c r="N482" s="14"/>
      <c r="O482" s="14"/>
      <c r="P482" s="14"/>
      <c r="Q482" s="14"/>
      <c r="R482" s="18"/>
      <c r="S482" s="160"/>
      <c r="T482" s="160"/>
      <c r="U482" s="1"/>
      <c r="V482" s="15"/>
    </row>
    <row r="483">
      <c r="N483" s="15"/>
      <c r="O483" s="15"/>
      <c r="P483" s="15"/>
      <c r="Q483" s="15"/>
      <c r="R483" s="25"/>
      <c r="S483" s="25"/>
      <c r="T483" s="25"/>
      <c r="U483" s="25"/>
      <c r="V483" s="29"/>
    </row>
    <row r="484">
      <c r="N484" s="31"/>
      <c r="O484" s="32"/>
      <c r="P484" s="34"/>
      <c r="Q484" s="1"/>
      <c r="R484" s="42"/>
      <c r="S484" s="1"/>
      <c r="T484" s="37"/>
      <c r="U484" s="1"/>
      <c r="V484" s="48"/>
    </row>
    <row r="485">
      <c r="N485" s="31"/>
      <c r="O485" s="1"/>
      <c r="P485" s="37"/>
      <c r="Q485" s="1"/>
      <c r="R485" s="42"/>
      <c r="S485" s="1"/>
      <c r="T485" s="37"/>
      <c r="U485" s="1"/>
      <c r="V485" s="48"/>
    </row>
    <row r="486">
      <c r="N486" s="31"/>
      <c r="O486" s="1"/>
      <c r="P486" s="37"/>
      <c r="Q486" s="1"/>
      <c r="R486" s="42"/>
      <c r="S486" s="1"/>
      <c r="T486" s="37"/>
      <c r="U486" s="1"/>
      <c r="V486" s="29"/>
    </row>
    <row r="487">
      <c r="N487" s="31"/>
      <c r="O487" s="1"/>
      <c r="P487" s="37"/>
      <c r="Q487" s="1"/>
      <c r="R487" s="42"/>
      <c r="S487" s="1"/>
      <c r="T487" s="37"/>
      <c r="U487" s="1"/>
      <c r="V487" s="48"/>
    </row>
    <row r="488">
      <c r="N488" s="31"/>
      <c r="O488" s="1"/>
      <c r="P488" s="37"/>
      <c r="Q488" s="1"/>
      <c r="R488" s="42"/>
      <c r="S488" s="1"/>
      <c r="T488" s="37"/>
      <c r="U488" s="37"/>
      <c r="V488" s="48"/>
    </row>
    <row r="489">
      <c r="N489" s="31"/>
      <c r="O489" s="1"/>
      <c r="P489" s="37"/>
      <c r="Q489" s="1"/>
      <c r="R489" s="42"/>
      <c r="S489" s="1"/>
      <c r="T489" s="37"/>
      <c r="U489" s="1"/>
      <c r="V489" s="48"/>
    </row>
    <row r="490">
      <c r="N490" s="31"/>
      <c r="O490" s="37"/>
      <c r="P490" s="37"/>
      <c r="Q490" s="37"/>
      <c r="R490" s="42"/>
      <c r="S490" s="37"/>
      <c r="T490" s="37"/>
      <c r="U490" s="1"/>
      <c r="V490" s="29"/>
    </row>
    <row r="491">
      <c r="N491" s="31"/>
      <c r="O491" s="37"/>
      <c r="P491" s="37"/>
      <c r="Q491" s="37"/>
      <c r="R491" s="42"/>
      <c r="S491" s="37"/>
      <c r="T491" s="37"/>
      <c r="U491" s="25"/>
      <c r="V491" s="29"/>
    </row>
    <row r="492">
      <c r="N492" s="31"/>
      <c r="O492" s="37"/>
      <c r="P492" s="37"/>
      <c r="Q492" s="37"/>
      <c r="R492" s="42"/>
      <c r="S492" s="37"/>
      <c r="T492" s="37"/>
      <c r="U492" s="1"/>
      <c r="V492" s="29"/>
    </row>
    <row r="493">
      <c r="N493" s="31"/>
      <c r="O493" s="37"/>
      <c r="P493" s="37"/>
      <c r="Q493" s="37"/>
      <c r="R493" s="42"/>
      <c r="S493" s="37"/>
      <c r="T493" s="37"/>
      <c r="U493" s="1"/>
      <c r="V493" s="29"/>
    </row>
    <row r="494">
      <c r="N494" s="31"/>
      <c r="O494" s="37"/>
      <c r="P494" s="37"/>
      <c r="Q494" s="37"/>
      <c r="R494" s="42"/>
      <c r="S494" s="37"/>
      <c r="T494" s="37"/>
      <c r="U494" s="1"/>
      <c r="V494" s="29"/>
    </row>
    <row r="495">
      <c r="N495" s="31"/>
      <c r="O495" s="37"/>
      <c r="P495" s="37"/>
      <c r="Q495" s="37"/>
      <c r="R495" s="42"/>
      <c r="S495" s="37"/>
      <c r="T495" s="37"/>
      <c r="U495" s="1"/>
      <c r="V495" s="29"/>
    </row>
    <row r="496">
      <c r="N496" s="31"/>
      <c r="O496" s="37"/>
      <c r="P496" s="37"/>
      <c r="Q496" s="37"/>
      <c r="R496" s="42"/>
      <c r="S496" s="37"/>
      <c r="T496" s="37"/>
      <c r="U496" s="37"/>
      <c r="V496" s="29"/>
    </row>
    <row r="497">
      <c r="N497" s="31"/>
      <c r="O497" s="37"/>
      <c r="P497" s="37"/>
      <c r="Q497" s="37"/>
      <c r="R497" s="42"/>
      <c r="S497" s="37"/>
      <c r="T497" s="37"/>
      <c r="U497" s="1"/>
      <c r="V497" s="29"/>
    </row>
    <row r="498">
      <c r="N498" s="31"/>
      <c r="O498" s="37"/>
      <c r="P498" s="37"/>
      <c r="Q498" s="37"/>
      <c r="R498" s="42"/>
      <c r="S498" s="37"/>
      <c r="T498" s="37"/>
      <c r="U498" s="1"/>
      <c r="V498" s="29"/>
    </row>
    <row r="499">
      <c r="N499" s="31"/>
      <c r="O499" s="37"/>
      <c r="P499" s="37"/>
      <c r="Q499" s="37"/>
      <c r="R499" s="42"/>
      <c r="S499" s="37"/>
      <c r="T499" s="37"/>
      <c r="U499" s="25"/>
      <c r="V499" s="29"/>
    </row>
    <row r="500">
      <c r="N500" s="31"/>
      <c r="O500" s="37"/>
      <c r="P500" s="37"/>
      <c r="Q500" s="37"/>
      <c r="R500" s="42"/>
      <c r="S500" s="37"/>
      <c r="T500" s="37"/>
      <c r="U500" s="1"/>
      <c r="V500" s="29"/>
    </row>
    <row r="501">
      <c r="N501" s="3"/>
      <c r="O501" s="164"/>
      <c r="P501" s="164"/>
      <c r="Q501" s="164"/>
      <c r="R501" s="164"/>
      <c r="S501" s="164"/>
      <c r="T501" s="164"/>
      <c r="U501" s="1"/>
      <c r="V501" s="8"/>
    </row>
    <row r="502">
      <c r="N502" s="14"/>
      <c r="O502" s="14"/>
      <c r="P502" s="14"/>
      <c r="Q502" s="14"/>
      <c r="R502" s="18"/>
      <c r="S502" s="160"/>
      <c r="T502" s="160"/>
      <c r="U502" s="1"/>
      <c r="V502" s="15"/>
    </row>
    <row r="503">
      <c r="N503" s="15"/>
      <c r="O503" s="15"/>
      <c r="P503" s="15"/>
      <c r="Q503" s="15"/>
      <c r="R503" s="25"/>
      <c r="S503" s="25"/>
      <c r="T503" s="25"/>
      <c r="U503" s="1"/>
      <c r="V503" s="29"/>
    </row>
    <row r="504">
      <c r="N504" s="31"/>
      <c r="O504" s="32"/>
      <c r="P504" s="34"/>
      <c r="Q504" s="1"/>
      <c r="R504" s="42"/>
      <c r="S504" s="1"/>
      <c r="T504" s="37"/>
      <c r="U504" s="37"/>
      <c r="V504" s="48"/>
    </row>
    <row r="505">
      <c r="N505" s="31"/>
      <c r="O505" s="1"/>
      <c r="P505" s="37"/>
      <c r="Q505" s="1"/>
      <c r="R505" s="42"/>
      <c r="S505" s="1"/>
      <c r="T505" s="37"/>
      <c r="U505" s="1"/>
      <c r="V505" s="48"/>
    </row>
    <row r="506">
      <c r="N506" s="31"/>
      <c r="O506" s="1"/>
      <c r="P506" s="37"/>
      <c r="Q506" s="1"/>
      <c r="R506" s="42"/>
      <c r="S506" s="1"/>
      <c r="T506" s="37"/>
      <c r="U506" s="1"/>
      <c r="V506" s="29"/>
    </row>
    <row r="507">
      <c r="N507" s="31"/>
      <c r="O507" s="1"/>
      <c r="P507" s="37"/>
      <c r="Q507" s="1"/>
      <c r="R507" s="42"/>
      <c r="S507" s="1"/>
      <c r="T507" s="37"/>
      <c r="U507" s="25"/>
      <c r="V507" s="48"/>
    </row>
    <row r="508">
      <c r="N508" s="31"/>
      <c r="O508" s="1"/>
      <c r="P508" s="37"/>
      <c r="Q508" s="1"/>
      <c r="R508" s="42"/>
      <c r="S508" s="1"/>
      <c r="T508" s="37"/>
      <c r="U508" s="1"/>
      <c r="V508" s="48"/>
    </row>
    <row r="509">
      <c r="N509" s="31"/>
      <c r="O509" s="1"/>
      <c r="P509" s="37"/>
      <c r="Q509" s="1"/>
      <c r="R509" s="42"/>
      <c r="S509" s="1"/>
      <c r="T509" s="37"/>
      <c r="U509" s="1"/>
      <c r="V509" s="48"/>
    </row>
    <row r="510">
      <c r="N510" s="31"/>
      <c r="O510" s="37"/>
      <c r="P510" s="37"/>
      <c r="Q510" s="37"/>
      <c r="R510" s="42"/>
      <c r="S510" s="37"/>
      <c r="T510" s="37"/>
      <c r="U510" s="1"/>
      <c r="V510" s="29"/>
    </row>
    <row r="511">
      <c r="N511" s="31"/>
      <c r="O511" s="37"/>
      <c r="P511" s="37"/>
      <c r="Q511" s="37"/>
      <c r="R511" s="42"/>
      <c r="S511" s="37"/>
      <c r="T511" s="37"/>
      <c r="U511" s="1"/>
      <c r="V511" s="29"/>
    </row>
    <row r="512">
      <c r="N512" s="31"/>
      <c r="O512" s="37"/>
      <c r="P512" s="37"/>
      <c r="Q512" s="37"/>
      <c r="R512" s="42"/>
      <c r="S512" s="37"/>
      <c r="T512" s="37"/>
      <c r="U512" s="37"/>
      <c r="V512" s="29"/>
    </row>
    <row r="513">
      <c r="N513" s="31"/>
      <c r="O513" s="37"/>
      <c r="P513" s="37"/>
      <c r="Q513" s="37"/>
      <c r="R513" s="42"/>
      <c r="S513" s="37"/>
      <c r="T513" s="37"/>
      <c r="U513" s="1"/>
      <c r="V513" s="29"/>
    </row>
    <row r="514">
      <c r="N514" s="31"/>
      <c r="O514" s="37"/>
      <c r="P514" s="37"/>
      <c r="Q514" s="37"/>
      <c r="R514" s="42"/>
      <c r="S514" s="37"/>
      <c r="T514" s="37"/>
      <c r="U514" s="1"/>
      <c r="V514" s="29"/>
    </row>
    <row r="515">
      <c r="N515" s="31"/>
      <c r="O515" s="37"/>
      <c r="P515" s="37"/>
      <c r="Q515" s="37"/>
      <c r="R515" s="42"/>
      <c r="S515" s="37"/>
      <c r="T515" s="37"/>
      <c r="U515" s="25"/>
      <c r="V515" s="29"/>
    </row>
    <row r="516">
      <c r="N516" s="31"/>
      <c r="O516" s="37"/>
      <c r="P516" s="37"/>
      <c r="Q516" s="37"/>
      <c r="R516" s="42"/>
      <c r="S516" s="37"/>
      <c r="T516" s="37"/>
      <c r="U516" s="1"/>
      <c r="V516" s="29"/>
    </row>
    <row r="517">
      <c r="N517" s="31"/>
      <c r="O517" s="37"/>
      <c r="P517" s="37"/>
      <c r="Q517" s="37"/>
      <c r="R517" s="42"/>
      <c r="S517" s="37"/>
      <c r="T517" s="37"/>
      <c r="U517" s="1"/>
      <c r="V517" s="29"/>
    </row>
    <row r="518">
      <c r="N518" s="31"/>
      <c r="O518" s="37"/>
      <c r="P518" s="37"/>
      <c r="Q518" s="37"/>
      <c r="R518" s="42"/>
      <c r="S518" s="37"/>
      <c r="T518" s="37"/>
      <c r="U518" s="1"/>
      <c r="V518" s="29"/>
    </row>
    <row r="519">
      <c r="N519" s="31"/>
      <c r="O519" s="37"/>
      <c r="P519" s="37"/>
      <c r="Q519" s="37"/>
      <c r="R519" s="42"/>
      <c r="S519" s="37"/>
      <c r="T519" s="37"/>
      <c r="U519" s="1"/>
      <c r="V519" s="29"/>
    </row>
    <row r="520">
      <c r="N520" s="31"/>
      <c r="O520" s="37"/>
      <c r="P520" s="37"/>
      <c r="Q520" s="37"/>
      <c r="R520" s="42"/>
      <c r="S520" s="37"/>
      <c r="T520" s="37"/>
      <c r="U520" s="37"/>
      <c r="V520" s="29"/>
    </row>
    <row r="521">
      <c r="N521" s="3"/>
      <c r="O521" s="164"/>
      <c r="P521" s="164"/>
      <c r="Q521" s="164"/>
      <c r="R521" s="164"/>
      <c r="S521" s="164"/>
      <c r="T521" s="164"/>
      <c r="U521" s="1"/>
      <c r="V521" s="8"/>
    </row>
    <row r="522">
      <c r="N522" s="14"/>
      <c r="O522" s="14"/>
      <c r="P522" s="14"/>
      <c r="Q522" s="14"/>
      <c r="R522" s="18"/>
      <c r="S522" s="160"/>
      <c r="T522" s="160"/>
      <c r="U522" s="1"/>
      <c r="V522" s="15"/>
    </row>
    <row r="523">
      <c r="N523" s="15"/>
      <c r="O523" s="15"/>
      <c r="P523" s="15"/>
      <c r="Q523" s="15"/>
      <c r="R523" s="25"/>
      <c r="S523" s="25"/>
      <c r="T523" s="25"/>
      <c r="U523" s="25"/>
      <c r="V523" s="29"/>
    </row>
    <row r="524">
      <c r="N524" s="31"/>
      <c r="O524" s="32"/>
      <c r="P524" s="34"/>
      <c r="Q524" s="1"/>
      <c r="R524" s="42"/>
      <c r="S524" s="1"/>
      <c r="T524" s="37"/>
      <c r="U524" s="1"/>
      <c r="V524" s="48"/>
    </row>
    <row r="525">
      <c r="N525" s="31"/>
      <c r="O525" s="1"/>
      <c r="P525" s="37"/>
      <c r="Q525" s="1"/>
      <c r="R525" s="42"/>
      <c r="S525" s="1"/>
      <c r="T525" s="37"/>
      <c r="U525" s="1"/>
      <c r="V525" s="48"/>
    </row>
    <row r="526">
      <c r="N526" s="31"/>
      <c r="O526" s="1"/>
      <c r="P526" s="37"/>
      <c r="Q526" s="1"/>
      <c r="R526" s="42"/>
      <c r="S526" s="1"/>
      <c r="T526" s="37"/>
      <c r="U526" s="1"/>
      <c r="V526" s="29"/>
    </row>
    <row r="527">
      <c r="N527" s="31"/>
      <c r="O527" s="1"/>
      <c r="P527" s="37"/>
      <c r="Q527" s="1"/>
      <c r="R527" s="42"/>
      <c r="S527" s="1"/>
      <c r="T527" s="37"/>
      <c r="U527" s="1"/>
      <c r="V527" s="48"/>
    </row>
    <row r="528">
      <c r="N528" s="31"/>
      <c r="O528" s="1"/>
      <c r="P528" s="37"/>
      <c r="Q528" s="1"/>
      <c r="R528" s="42"/>
      <c r="S528" s="1"/>
      <c r="T528" s="37"/>
      <c r="U528" s="37"/>
      <c r="V528" s="48"/>
    </row>
    <row r="529">
      <c r="N529" s="31"/>
      <c r="O529" s="1"/>
      <c r="P529" s="37"/>
      <c r="Q529" s="1"/>
      <c r="R529" s="42"/>
      <c r="S529" s="1"/>
      <c r="T529" s="37"/>
      <c r="U529" s="1"/>
      <c r="V529" s="48"/>
    </row>
    <row r="530">
      <c r="N530" s="31"/>
      <c r="O530" s="37"/>
      <c r="P530" s="37"/>
      <c r="Q530" s="37"/>
      <c r="R530" s="42"/>
      <c r="S530" s="37"/>
      <c r="T530" s="37"/>
      <c r="U530" s="1"/>
      <c r="V530" s="29"/>
    </row>
    <row r="531">
      <c r="N531" s="31"/>
      <c r="O531" s="37"/>
      <c r="P531" s="37"/>
      <c r="Q531" s="37"/>
      <c r="R531" s="42"/>
      <c r="S531" s="37"/>
      <c r="T531" s="37"/>
      <c r="U531" s="25"/>
      <c r="V531" s="29"/>
    </row>
    <row r="532">
      <c r="N532" s="31"/>
      <c r="O532" s="37"/>
      <c r="P532" s="37"/>
      <c r="Q532" s="37"/>
      <c r="R532" s="42"/>
      <c r="S532" s="37"/>
      <c r="T532" s="37"/>
      <c r="U532" s="1"/>
      <c r="V532" s="29"/>
    </row>
    <row r="533">
      <c r="N533" s="31"/>
      <c r="O533" s="37"/>
      <c r="P533" s="37"/>
      <c r="Q533" s="37"/>
      <c r="R533" s="42"/>
      <c r="S533" s="37"/>
      <c r="T533" s="37"/>
      <c r="U533" s="1"/>
      <c r="V533" s="29"/>
    </row>
    <row r="534">
      <c r="N534" s="31"/>
      <c r="O534" s="37"/>
      <c r="P534" s="37"/>
      <c r="Q534" s="37"/>
      <c r="R534" s="42"/>
      <c r="S534" s="37"/>
      <c r="T534" s="37"/>
      <c r="U534" s="1"/>
      <c r="V534" s="29"/>
    </row>
    <row r="535">
      <c r="N535" s="31"/>
      <c r="O535" s="37"/>
      <c r="P535" s="37"/>
      <c r="Q535" s="37"/>
      <c r="R535" s="42"/>
      <c r="S535" s="37"/>
      <c r="T535" s="37"/>
      <c r="U535" s="1"/>
      <c r="V535" s="29"/>
    </row>
    <row r="536">
      <c r="N536" s="31"/>
      <c r="O536" s="37"/>
      <c r="P536" s="37"/>
      <c r="Q536" s="37"/>
      <c r="R536" s="42"/>
      <c r="S536" s="37"/>
      <c r="T536" s="37"/>
      <c r="U536" s="37"/>
      <c r="V536" s="29"/>
    </row>
    <row r="537">
      <c r="N537" s="31"/>
      <c r="O537" s="37"/>
      <c r="P537" s="37"/>
      <c r="Q537" s="37"/>
      <c r="R537" s="42"/>
      <c r="S537" s="37"/>
      <c r="T537" s="37"/>
      <c r="U537" s="1"/>
      <c r="V537" s="29"/>
    </row>
    <row r="538">
      <c r="N538" s="31"/>
      <c r="O538" s="37"/>
      <c r="P538" s="37"/>
      <c r="Q538" s="37"/>
      <c r="R538" s="42"/>
      <c r="S538" s="37"/>
      <c r="T538" s="37"/>
      <c r="U538" s="1"/>
      <c r="V538" s="29"/>
    </row>
    <row r="539">
      <c r="N539" s="31"/>
      <c r="O539" s="37"/>
      <c r="P539" s="37"/>
      <c r="Q539" s="37"/>
      <c r="R539" s="42"/>
      <c r="S539" s="37"/>
      <c r="T539" s="37"/>
      <c r="U539" s="25"/>
      <c r="V539" s="29"/>
    </row>
    <row r="540">
      <c r="N540" s="31"/>
      <c r="O540" s="37"/>
      <c r="P540" s="37"/>
      <c r="Q540" s="37"/>
      <c r="R540" s="42"/>
      <c r="S540" s="37"/>
      <c r="T540" s="37"/>
      <c r="U540" s="1"/>
      <c r="V540" s="29"/>
    </row>
    <row r="541">
      <c r="N541" s="3"/>
      <c r="O541" s="164"/>
      <c r="P541" s="164"/>
      <c r="Q541" s="164"/>
      <c r="R541" s="164"/>
      <c r="S541" s="164"/>
      <c r="T541" s="164"/>
      <c r="U541" s="1"/>
      <c r="V541" s="8"/>
    </row>
    <row r="542">
      <c r="N542" s="14"/>
      <c r="O542" s="14"/>
      <c r="P542" s="14"/>
      <c r="Q542" s="14"/>
      <c r="R542" s="18"/>
      <c r="S542" s="160"/>
      <c r="T542" s="160"/>
      <c r="U542" s="1"/>
      <c r="V542" s="15"/>
    </row>
    <row r="543">
      <c r="N543" s="15"/>
      <c r="O543" s="15"/>
      <c r="P543" s="15"/>
      <c r="Q543" s="15"/>
      <c r="R543" s="25"/>
      <c r="S543" s="25"/>
      <c r="T543" s="25"/>
      <c r="U543" s="1"/>
      <c r="V543" s="29"/>
    </row>
    <row r="544">
      <c r="N544" s="31"/>
      <c r="O544" s="32"/>
      <c r="P544" s="34"/>
      <c r="Q544" s="1"/>
      <c r="R544" s="42"/>
      <c r="S544" s="1"/>
      <c r="T544" s="37"/>
      <c r="U544" s="37"/>
      <c r="V544" s="48"/>
    </row>
    <row r="545">
      <c r="N545" s="31"/>
      <c r="O545" s="1"/>
      <c r="P545" s="37"/>
      <c r="Q545" s="1"/>
      <c r="R545" s="42"/>
      <c r="S545" s="1"/>
      <c r="T545" s="37"/>
      <c r="U545" s="1"/>
      <c r="V545" s="48"/>
    </row>
    <row r="546">
      <c r="N546" s="31"/>
      <c r="O546" s="1"/>
      <c r="P546" s="37"/>
      <c r="Q546" s="1"/>
      <c r="R546" s="42"/>
      <c r="S546" s="1"/>
      <c r="T546" s="37"/>
      <c r="U546" s="1"/>
      <c r="V546" s="29"/>
    </row>
    <row r="547">
      <c r="N547" s="31"/>
      <c r="O547" s="1"/>
      <c r="P547" s="37"/>
      <c r="Q547" s="1"/>
      <c r="R547" s="42"/>
      <c r="S547" s="1"/>
      <c r="T547" s="37"/>
      <c r="U547" s="25"/>
      <c r="V547" s="48"/>
    </row>
    <row r="548">
      <c r="N548" s="31"/>
      <c r="O548" s="1"/>
      <c r="P548" s="37"/>
      <c r="Q548" s="1"/>
      <c r="R548" s="42"/>
      <c r="S548" s="1"/>
      <c r="T548" s="37"/>
      <c r="U548" s="1"/>
      <c r="V548" s="48"/>
    </row>
    <row r="549">
      <c r="N549" s="31"/>
      <c r="O549" s="1"/>
      <c r="P549" s="37"/>
      <c r="Q549" s="1"/>
      <c r="R549" s="42"/>
      <c r="S549" s="1"/>
      <c r="T549" s="37"/>
      <c r="U549" s="1"/>
      <c r="V549" s="48"/>
    </row>
    <row r="550">
      <c r="N550" s="31"/>
      <c r="O550" s="37"/>
      <c r="P550" s="37"/>
      <c r="Q550" s="37"/>
      <c r="R550" s="42"/>
      <c r="S550" s="37"/>
      <c r="T550" s="37"/>
      <c r="U550" s="1"/>
      <c r="V550" s="29"/>
    </row>
    <row r="551">
      <c r="N551" s="31"/>
      <c r="O551" s="37"/>
      <c r="P551" s="37"/>
      <c r="Q551" s="37"/>
      <c r="R551" s="42"/>
      <c r="S551" s="37"/>
      <c r="T551" s="37"/>
      <c r="U551" s="1"/>
      <c r="V551" s="29"/>
    </row>
    <row r="552">
      <c r="N552" s="31"/>
      <c r="O552" s="37"/>
      <c r="P552" s="37"/>
      <c r="Q552" s="37"/>
      <c r="R552" s="42"/>
      <c r="S552" s="37"/>
      <c r="T552" s="37"/>
      <c r="U552" s="37"/>
      <c r="V552" s="29"/>
    </row>
    <row r="553">
      <c r="N553" s="31"/>
      <c r="O553" s="37"/>
      <c r="P553" s="37"/>
      <c r="Q553" s="37"/>
      <c r="R553" s="42"/>
      <c r="S553" s="37"/>
      <c r="T553" s="37"/>
      <c r="U553" s="1"/>
      <c r="V553" s="29"/>
    </row>
    <row r="554">
      <c r="N554" s="31"/>
      <c r="O554" s="37"/>
      <c r="P554" s="37"/>
      <c r="Q554" s="37"/>
      <c r="R554" s="42"/>
      <c r="S554" s="37"/>
      <c r="T554" s="37"/>
      <c r="U554" s="1"/>
      <c r="V554" s="29"/>
    </row>
    <row r="555">
      <c r="N555" s="31"/>
      <c r="O555" s="37"/>
      <c r="P555" s="37"/>
      <c r="Q555" s="37"/>
      <c r="R555" s="42"/>
      <c r="S555" s="37"/>
      <c r="T555" s="37"/>
      <c r="U555" s="25"/>
      <c r="V555" s="29"/>
    </row>
    <row r="556">
      <c r="N556" s="31"/>
      <c r="O556" s="37"/>
      <c r="P556" s="37"/>
      <c r="Q556" s="37"/>
      <c r="R556" s="42"/>
      <c r="S556" s="37"/>
      <c r="T556" s="37"/>
      <c r="U556" s="1"/>
      <c r="V556" s="29"/>
    </row>
    <row r="557">
      <c r="N557" s="31"/>
      <c r="O557" s="37"/>
      <c r="P557" s="37"/>
      <c r="Q557" s="37"/>
      <c r="R557" s="42"/>
      <c r="S557" s="37"/>
      <c r="T557" s="37"/>
      <c r="U557" s="1"/>
      <c r="V557" s="29"/>
    </row>
    <row r="558">
      <c r="N558" s="31"/>
      <c r="O558" s="37"/>
      <c r="P558" s="37"/>
      <c r="Q558" s="37"/>
      <c r="R558" s="42"/>
      <c r="S558" s="37"/>
      <c r="T558" s="37"/>
      <c r="U558" s="1"/>
      <c r="V558" s="29"/>
    </row>
    <row r="559">
      <c r="N559" s="31"/>
      <c r="O559" s="37"/>
      <c r="P559" s="37"/>
      <c r="Q559" s="37"/>
      <c r="R559" s="42"/>
      <c r="S559" s="37"/>
      <c r="T559" s="37"/>
      <c r="U559" s="1"/>
      <c r="V559" s="29"/>
    </row>
    <row r="560">
      <c r="N560" s="31"/>
      <c r="O560" s="37"/>
      <c r="P560" s="37"/>
      <c r="Q560" s="37"/>
      <c r="R560" s="42"/>
      <c r="S560" s="37"/>
      <c r="T560" s="37"/>
      <c r="U560" s="37"/>
      <c r="V560" s="29"/>
    </row>
    <row r="561">
      <c r="N561" s="3"/>
      <c r="O561" s="164"/>
      <c r="P561" s="164"/>
      <c r="Q561" s="164"/>
      <c r="R561" s="164"/>
      <c r="S561" s="164"/>
      <c r="T561" s="164"/>
      <c r="U561" s="1"/>
      <c r="V561" s="8"/>
    </row>
    <row r="562">
      <c r="N562" s="14"/>
      <c r="O562" s="14"/>
      <c r="P562" s="14"/>
      <c r="Q562" s="14"/>
      <c r="R562" s="18"/>
      <c r="S562" s="160"/>
      <c r="T562" s="160"/>
      <c r="U562" s="1"/>
      <c r="V562" s="15"/>
    </row>
    <row r="563">
      <c r="N563" s="15"/>
      <c r="O563" s="15"/>
      <c r="P563" s="15"/>
      <c r="Q563" s="15"/>
      <c r="R563" s="25"/>
      <c r="S563" s="25"/>
      <c r="T563" s="25"/>
      <c r="U563" s="25"/>
      <c r="V563" s="29"/>
    </row>
    <row r="564">
      <c r="N564" s="31"/>
      <c r="O564" s="32"/>
      <c r="P564" s="34"/>
      <c r="Q564" s="1"/>
      <c r="R564" s="42"/>
      <c r="S564" s="1"/>
      <c r="T564" s="37"/>
      <c r="U564" s="1"/>
      <c r="V564" s="48"/>
    </row>
    <row r="565">
      <c r="N565" s="31"/>
      <c r="O565" s="1"/>
      <c r="P565" s="37"/>
      <c r="Q565" s="1"/>
      <c r="R565" s="42"/>
      <c r="S565" s="1"/>
      <c r="T565" s="37"/>
      <c r="U565" s="1"/>
      <c r="V565" s="48"/>
    </row>
    <row r="566">
      <c r="N566" s="31"/>
      <c r="O566" s="1"/>
      <c r="P566" s="37"/>
      <c r="Q566" s="1"/>
      <c r="R566" s="42"/>
      <c r="S566" s="1"/>
      <c r="T566" s="37"/>
      <c r="U566" s="1"/>
      <c r="V566" s="29"/>
    </row>
    <row r="567">
      <c r="N567" s="31"/>
      <c r="O567" s="1"/>
      <c r="P567" s="37"/>
      <c r="Q567" s="1"/>
      <c r="R567" s="42"/>
      <c r="S567" s="1"/>
      <c r="T567" s="37"/>
      <c r="U567" s="1"/>
      <c r="V567" s="48"/>
    </row>
    <row r="568">
      <c r="N568" s="31"/>
      <c r="O568" s="1"/>
      <c r="P568" s="37"/>
      <c r="Q568" s="1"/>
      <c r="R568" s="42"/>
      <c r="S568" s="1"/>
      <c r="T568" s="37"/>
      <c r="U568" s="37"/>
      <c r="V568" s="48"/>
    </row>
    <row r="569">
      <c r="N569" s="31"/>
      <c r="O569" s="1"/>
      <c r="P569" s="37"/>
      <c r="Q569" s="1"/>
      <c r="R569" s="42"/>
      <c r="S569" s="1"/>
      <c r="T569" s="37"/>
      <c r="U569" s="1"/>
      <c r="V569" s="48"/>
    </row>
    <row r="570">
      <c r="N570" s="31"/>
      <c r="O570" s="37"/>
      <c r="P570" s="37"/>
      <c r="Q570" s="37"/>
      <c r="R570" s="42"/>
      <c r="S570" s="37"/>
      <c r="T570" s="37"/>
      <c r="U570" s="1"/>
      <c r="V570" s="29"/>
    </row>
    <row r="571">
      <c r="N571" s="31"/>
      <c r="O571" s="37"/>
      <c r="P571" s="37"/>
      <c r="Q571" s="37"/>
      <c r="R571" s="42"/>
      <c r="S571" s="37"/>
      <c r="T571" s="37"/>
      <c r="U571" s="25"/>
      <c r="V571" s="29"/>
    </row>
    <row r="572">
      <c r="N572" s="31"/>
      <c r="O572" s="37"/>
      <c r="P572" s="37"/>
      <c r="Q572" s="37"/>
      <c r="R572" s="42"/>
      <c r="S572" s="37"/>
      <c r="T572" s="37"/>
      <c r="U572" s="1"/>
      <c r="V572" s="29"/>
    </row>
    <row r="573">
      <c r="N573" s="31"/>
      <c r="O573" s="37"/>
      <c r="P573" s="37"/>
      <c r="Q573" s="37"/>
      <c r="R573" s="42"/>
      <c r="S573" s="37"/>
      <c r="T573" s="37"/>
      <c r="U573" s="1"/>
      <c r="V573" s="29"/>
    </row>
    <row r="574">
      <c r="N574" s="31"/>
      <c r="O574" s="37"/>
      <c r="P574" s="37"/>
      <c r="Q574" s="37"/>
      <c r="R574" s="42"/>
      <c r="S574" s="37"/>
      <c r="T574" s="37"/>
      <c r="U574" s="1"/>
      <c r="V574" s="29"/>
    </row>
    <row r="575">
      <c r="N575" s="31"/>
      <c r="O575" s="37"/>
      <c r="P575" s="37"/>
      <c r="Q575" s="37"/>
      <c r="R575" s="42"/>
      <c r="S575" s="37"/>
      <c r="T575" s="37"/>
      <c r="U575" s="1"/>
      <c r="V575" s="29"/>
    </row>
    <row r="576">
      <c r="N576" s="31"/>
      <c r="O576" s="37"/>
      <c r="P576" s="37"/>
      <c r="Q576" s="37"/>
      <c r="R576" s="42"/>
      <c r="S576" s="37"/>
      <c r="T576" s="37"/>
      <c r="U576" s="37"/>
      <c r="V576" s="29"/>
    </row>
    <row r="577">
      <c r="N577" s="31"/>
      <c r="O577" s="37"/>
      <c r="P577" s="37"/>
      <c r="Q577" s="37"/>
      <c r="R577" s="42"/>
      <c r="S577" s="37"/>
      <c r="T577" s="37"/>
      <c r="U577" s="1"/>
      <c r="V577" s="29"/>
    </row>
    <row r="578">
      <c r="N578" s="31"/>
      <c r="O578" s="37"/>
      <c r="P578" s="37"/>
      <c r="Q578" s="37"/>
      <c r="R578" s="42"/>
      <c r="S578" s="37"/>
      <c r="T578" s="37"/>
      <c r="U578" s="1"/>
      <c r="V578" s="29"/>
    </row>
    <row r="579">
      <c r="N579" s="31"/>
      <c r="O579" s="37"/>
      <c r="P579" s="37"/>
      <c r="Q579" s="37"/>
      <c r="R579" s="42"/>
      <c r="S579" s="37"/>
      <c r="T579" s="37"/>
      <c r="U579" s="25"/>
      <c r="V579" s="29"/>
    </row>
    <row r="580">
      <c r="N580" s="31"/>
      <c r="O580" s="37"/>
      <c r="P580" s="37"/>
      <c r="Q580" s="37"/>
      <c r="R580" s="42"/>
      <c r="S580" s="37"/>
      <c r="T580" s="37"/>
      <c r="U580" s="1"/>
      <c r="V580" s="29"/>
    </row>
    <row r="581">
      <c r="N581" s="3"/>
      <c r="O581" s="164"/>
      <c r="P581" s="164"/>
      <c r="Q581" s="164"/>
      <c r="R581" s="164"/>
      <c r="S581" s="164"/>
      <c r="T581" s="164"/>
      <c r="U581" s="1"/>
      <c r="V581" s="8"/>
    </row>
    <row r="582">
      <c r="N582" s="14"/>
      <c r="O582" s="14"/>
      <c r="P582" s="14"/>
      <c r="Q582" s="14"/>
      <c r="R582" s="18"/>
      <c r="S582" s="160"/>
      <c r="T582" s="160"/>
      <c r="U582" s="1"/>
      <c r="V582" s="15"/>
    </row>
    <row r="583">
      <c r="N583" s="15"/>
      <c r="O583" s="15"/>
      <c r="P583" s="15"/>
      <c r="Q583" s="15"/>
      <c r="R583" s="25"/>
      <c r="S583" s="25"/>
      <c r="T583" s="25"/>
      <c r="U583" s="1"/>
      <c r="V583" s="29"/>
    </row>
    <row r="584">
      <c r="N584" s="31"/>
      <c r="O584" s="32"/>
      <c r="P584" s="34"/>
      <c r="Q584" s="1"/>
      <c r="R584" s="42"/>
      <c r="S584" s="1"/>
      <c r="T584" s="37"/>
      <c r="U584" s="37"/>
      <c r="V584" s="48"/>
    </row>
    <row r="585">
      <c r="N585" s="31"/>
      <c r="O585" s="1"/>
      <c r="P585" s="37"/>
      <c r="Q585" s="1"/>
      <c r="R585" s="42"/>
      <c r="S585" s="1"/>
      <c r="T585" s="37"/>
      <c r="U585" s="1"/>
      <c r="V585" s="48"/>
    </row>
    <row r="586">
      <c r="N586" s="31"/>
      <c r="O586" s="1"/>
      <c r="P586" s="37"/>
      <c r="Q586" s="1"/>
      <c r="R586" s="42"/>
      <c r="S586" s="1"/>
      <c r="T586" s="37"/>
      <c r="U586" s="1"/>
      <c r="V586" s="29"/>
    </row>
    <row r="587">
      <c r="N587" s="31"/>
      <c r="O587" s="1"/>
      <c r="P587" s="37"/>
      <c r="Q587" s="1"/>
      <c r="R587" s="42"/>
      <c r="S587" s="1"/>
      <c r="T587" s="37"/>
      <c r="U587" s="25"/>
      <c r="V587" s="48"/>
    </row>
    <row r="588">
      <c r="N588" s="31"/>
      <c r="O588" s="1"/>
      <c r="P588" s="37"/>
      <c r="Q588" s="1"/>
      <c r="R588" s="42"/>
      <c r="S588" s="1"/>
      <c r="T588" s="37"/>
      <c r="U588" s="1"/>
      <c r="V588" s="48"/>
    </row>
    <row r="589">
      <c r="N589" s="31"/>
      <c r="O589" s="1"/>
      <c r="P589" s="37"/>
      <c r="Q589" s="1"/>
      <c r="R589" s="42"/>
      <c r="S589" s="1"/>
      <c r="T589" s="37"/>
      <c r="U589" s="1"/>
      <c r="V589" s="48"/>
    </row>
    <row r="590">
      <c r="N590" s="31"/>
      <c r="O590" s="37"/>
      <c r="P590" s="37"/>
      <c r="Q590" s="37"/>
      <c r="R590" s="42"/>
      <c r="S590" s="37"/>
      <c r="T590" s="37"/>
      <c r="U590" s="1"/>
      <c r="V590" s="29"/>
    </row>
    <row r="591">
      <c r="N591" s="31"/>
      <c r="O591" s="37"/>
      <c r="P591" s="37"/>
      <c r="Q591" s="37"/>
      <c r="R591" s="42"/>
      <c r="S591" s="37"/>
      <c r="T591" s="37"/>
      <c r="U591" s="1"/>
      <c r="V591" s="29"/>
    </row>
    <row r="592">
      <c r="N592" s="31"/>
      <c r="O592" s="37"/>
      <c r="P592" s="37"/>
      <c r="Q592" s="37"/>
      <c r="R592" s="42"/>
      <c r="S592" s="37"/>
      <c r="T592" s="37"/>
      <c r="U592" s="37"/>
      <c r="V592" s="29"/>
    </row>
    <row r="593">
      <c r="N593" s="31"/>
      <c r="O593" s="37"/>
      <c r="P593" s="37"/>
      <c r="Q593" s="37"/>
      <c r="R593" s="42"/>
      <c r="S593" s="37"/>
      <c r="T593" s="37"/>
      <c r="U593" s="1"/>
      <c r="V593" s="29"/>
    </row>
    <row r="594">
      <c r="N594" s="31"/>
      <c r="O594" s="37"/>
      <c r="P594" s="37"/>
      <c r="Q594" s="37"/>
      <c r="R594" s="42"/>
      <c r="S594" s="37"/>
      <c r="T594" s="37"/>
      <c r="U594" s="1"/>
      <c r="V594" s="29"/>
    </row>
    <row r="595">
      <c r="N595" s="31"/>
      <c r="O595" s="37"/>
      <c r="P595" s="37"/>
      <c r="Q595" s="37"/>
      <c r="R595" s="42"/>
      <c r="S595" s="37"/>
      <c r="T595" s="37"/>
      <c r="U595" s="25"/>
      <c r="V595" s="29"/>
    </row>
    <row r="596">
      <c r="N596" s="31"/>
      <c r="O596" s="37"/>
      <c r="P596" s="37"/>
      <c r="Q596" s="37"/>
      <c r="R596" s="42"/>
      <c r="S596" s="37"/>
      <c r="T596" s="37"/>
      <c r="U596" s="1"/>
      <c r="V596" s="29"/>
    </row>
    <row r="597">
      <c r="N597" s="31"/>
      <c r="O597" s="37"/>
      <c r="P597" s="37"/>
      <c r="Q597" s="37"/>
      <c r="R597" s="42"/>
      <c r="S597" s="37"/>
      <c r="T597" s="37"/>
      <c r="U597" s="1"/>
      <c r="V597" s="29"/>
    </row>
    <row r="598">
      <c r="N598" s="31"/>
      <c r="O598" s="37"/>
      <c r="P598" s="37"/>
      <c r="Q598" s="37"/>
      <c r="R598" s="42"/>
      <c r="S598" s="37"/>
      <c r="T598" s="37"/>
      <c r="U598" s="1"/>
      <c r="V598" s="29"/>
    </row>
    <row r="599">
      <c r="N599" s="31"/>
      <c r="O599" s="37"/>
      <c r="P599" s="37"/>
      <c r="Q599" s="37"/>
      <c r="R599" s="42"/>
      <c r="S599" s="37"/>
      <c r="T599" s="37"/>
      <c r="U599" s="1"/>
      <c r="V599" s="29"/>
    </row>
    <row r="600">
      <c r="N600" s="31"/>
      <c r="O600" s="37"/>
      <c r="P600" s="37"/>
      <c r="Q600" s="37"/>
      <c r="R600" s="42"/>
      <c r="S600" s="37"/>
      <c r="T600" s="37"/>
      <c r="U600" s="37"/>
      <c r="V600" s="29"/>
    </row>
    <row r="601">
      <c r="N601" s="3"/>
      <c r="O601" s="164"/>
      <c r="P601" s="164"/>
      <c r="Q601" s="164"/>
      <c r="R601" s="164"/>
      <c r="S601" s="164"/>
      <c r="T601" s="164"/>
      <c r="U601" s="1"/>
      <c r="V601" s="8"/>
    </row>
    <row r="602">
      <c r="N602" s="14"/>
      <c r="O602" s="14"/>
      <c r="P602" s="14"/>
      <c r="Q602" s="14"/>
      <c r="R602" s="18"/>
      <c r="S602" s="160"/>
      <c r="T602" s="160"/>
      <c r="U602" s="1"/>
      <c r="V602" s="15"/>
    </row>
    <row r="603">
      <c r="N603" s="15"/>
      <c r="O603" s="15"/>
      <c r="P603" s="15"/>
      <c r="Q603" s="15"/>
      <c r="R603" s="25"/>
      <c r="S603" s="25"/>
      <c r="T603" s="25"/>
      <c r="U603" s="25"/>
      <c r="V603" s="29"/>
    </row>
    <row r="604">
      <c r="N604" s="31"/>
      <c r="O604" s="32"/>
      <c r="P604" s="34"/>
      <c r="Q604" s="1"/>
      <c r="R604" s="42"/>
      <c r="S604" s="1"/>
      <c r="T604" s="37"/>
      <c r="U604" s="1"/>
      <c r="V604" s="48"/>
    </row>
    <row r="605">
      <c r="N605" s="31"/>
      <c r="O605" s="1"/>
      <c r="P605" s="37"/>
      <c r="Q605" s="1"/>
      <c r="R605" s="42"/>
      <c r="S605" s="1"/>
      <c r="T605" s="37"/>
      <c r="U605" s="1"/>
      <c r="V605" s="48"/>
    </row>
    <row r="606">
      <c r="N606" s="31"/>
      <c r="O606" s="1"/>
      <c r="P606" s="37"/>
      <c r="Q606" s="1"/>
      <c r="R606" s="42"/>
      <c r="S606" s="1"/>
      <c r="T606" s="37"/>
      <c r="U606" s="1"/>
      <c r="V606" s="29"/>
    </row>
    <row r="607">
      <c r="N607" s="31"/>
      <c r="O607" s="1"/>
      <c r="P607" s="37"/>
      <c r="Q607" s="1"/>
      <c r="R607" s="42"/>
      <c r="S607" s="1"/>
      <c r="T607" s="37"/>
      <c r="U607" s="1"/>
      <c r="V607" s="48"/>
    </row>
    <row r="608">
      <c r="N608" s="31"/>
      <c r="O608" s="1"/>
      <c r="P608" s="37"/>
      <c r="Q608" s="1"/>
      <c r="R608" s="42"/>
      <c r="S608" s="1"/>
      <c r="T608" s="37"/>
      <c r="U608" s="37"/>
      <c r="V608" s="48"/>
    </row>
    <row r="609">
      <c r="N609" s="31"/>
      <c r="O609" s="1"/>
      <c r="P609" s="37"/>
      <c r="Q609" s="1"/>
      <c r="R609" s="42"/>
      <c r="S609" s="1"/>
      <c r="T609" s="37"/>
      <c r="U609" s="1"/>
      <c r="V609" s="48"/>
    </row>
    <row r="610">
      <c r="N610" s="31"/>
      <c r="O610" s="37"/>
      <c r="P610" s="37"/>
      <c r="Q610" s="37"/>
      <c r="R610" s="42"/>
      <c r="S610" s="37"/>
      <c r="T610" s="37"/>
      <c r="U610" s="1"/>
      <c r="V610" s="29"/>
    </row>
    <row r="611">
      <c r="N611" s="31"/>
      <c r="O611" s="37"/>
      <c r="P611" s="37"/>
      <c r="Q611" s="37"/>
      <c r="R611" s="42"/>
      <c r="S611" s="37"/>
      <c r="T611" s="37"/>
      <c r="U611" s="25"/>
      <c r="V611" s="29"/>
    </row>
    <row r="612">
      <c r="N612" s="31"/>
      <c r="O612" s="37"/>
      <c r="P612" s="37"/>
      <c r="Q612" s="37"/>
      <c r="R612" s="42"/>
      <c r="S612" s="37"/>
      <c r="T612" s="37"/>
      <c r="U612" s="1"/>
      <c r="V612" s="29"/>
    </row>
    <row r="613">
      <c r="N613" s="31"/>
      <c r="O613" s="37"/>
      <c r="P613" s="37"/>
      <c r="Q613" s="37"/>
      <c r="R613" s="42"/>
      <c r="S613" s="37"/>
      <c r="T613" s="37"/>
      <c r="U613" s="1"/>
      <c r="V613" s="29"/>
    </row>
    <row r="614">
      <c r="N614" s="31"/>
      <c r="O614" s="37"/>
      <c r="P614" s="37"/>
      <c r="Q614" s="37"/>
      <c r="R614" s="42"/>
      <c r="S614" s="37"/>
      <c r="T614" s="37"/>
      <c r="U614" s="1"/>
      <c r="V614" s="29"/>
    </row>
    <row r="615">
      <c r="N615" s="31"/>
      <c r="O615" s="37"/>
      <c r="P615" s="37"/>
      <c r="Q615" s="37"/>
      <c r="R615" s="42"/>
      <c r="S615" s="37"/>
      <c r="T615" s="37"/>
      <c r="U615" s="1"/>
      <c r="V615" s="29"/>
    </row>
    <row r="616">
      <c r="N616" s="31"/>
      <c r="O616" s="37"/>
      <c r="P616" s="37"/>
      <c r="Q616" s="37"/>
      <c r="R616" s="42"/>
      <c r="S616" s="37"/>
      <c r="T616" s="37"/>
      <c r="U616" s="37"/>
      <c r="V616" s="29"/>
    </row>
    <row r="617">
      <c r="N617" s="31"/>
      <c r="O617" s="37"/>
      <c r="P617" s="37"/>
      <c r="Q617" s="37"/>
      <c r="R617" s="42"/>
      <c r="S617" s="37"/>
      <c r="T617" s="37"/>
      <c r="U617" s="1"/>
      <c r="V617" s="29"/>
    </row>
    <row r="618">
      <c r="N618" s="31"/>
      <c r="O618" s="37"/>
      <c r="P618" s="37"/>
      <c r="Q618" s="37"/>
      <c r="R618" s="42"/>
      <c r="S618" s="37"/>
      <c r="T618" s="37"/>
      <c r="U618" s="1"/>
      <c r="V618" s="29"/>
    </row>
    <row r="619">
      <c r="N619" s="31"/>
      <c r="O619" s="37"/>
      <c r="P619" s="37"/>
      <c r="Q619" s="37"/>
      <c r="R619" s="42"/>
      <c r="S619" s="37"/>
      <c r="T619" s="37"/>
      <c r="U619" s="25"/>
      <c r="V619" s="29"/>
    </row>
    <row r="620">
      <c r="N620" s="31"/>
      <c r="O620" s="37"/>
      <c r="P620" s="37"/>
      <c r="Q620" s="37"/>
      <c r="R620" s="42"/>
      <c r="S620" s="37"/>
      <c r="T620" s="37"/>
      <c r="U620" s="1"/>
      <c r="V620" s="29"/>
    </row>
    <row r="621">
      <c r="N621" s="3"/>
      <c r="O621" s="164"/>
      <c r="P621" s="164"/>
      <c r="Q621" s="164"/>
      <c r="R621" s="164"/>
      <c r="S621" s="164"/>
      <c r="T621" s="164"/>
      <c r="U621" s="1"/>
      <c r="V621" s="8"/>
    </row>
    <row r="622">
      <c r="N622" s="14"/>
      <c r="O622" s="14"/>
      <c r="P622" s="14"/>
      <c r="Q622" s="14"/>
      <c r="R622" s="18"/>
      <c r="S622" s="160"/>
      <c r="T622" s="160"/>
      <c r="U622" s="1"/>
      <c r="V622" s="15"/>
    </row>
    <row r="623">
      <c r="N623" s="15"/>
      <c r="O623" s="15"/>
      <c r="P623" s="15"/>
      <c r="Q623" s="15"/>
      <c r="R623" s="25"/>
      <c r="S623" s="25"/>
      <c r="T623" s="25"/>
      <c r="U623" s="1"/>
      <c r="V623" s="29"/>
    </row>
    <row r="624">
      <c r="N624" s="31"/>
      <c r="O624" s="32"/>
      <c r="P624" s="34"/>
      <c r="Q624" s="1"/>
      <c r="R624" s="42"/>
      <c r="S624" s="1"/>
      <c r="T624" s="37"/>
      <c r="U624" s="37"/>
      <c r="V624" s="48"/>
    </row>
    <row r="625">
      <c r="N625" s="31"/>
      <c r="O625" s="1"/>
      <c r="P625" s="37"/>
      <c r="Q625" s="1"/>
      <c r="R625" s="42"/>
      <c r="S625" s="1"/>
      <c r="T625" s="37"/>
      <c r="U625" s="1"/>
      <c r="V625" s="48"/>
    </row>
    <row r="626">
      <c r="N626" s="31"/>
      <c r="O626" s="1"/>
      <c r="P626" s="37"/>
      <c r="Q626" s="1"/>
      <c r="R626" s="42"/>
      <c r="S626" s="1"/>
      <c r="T626" s="37"/>
      <c r="U626" s="1"/>
      <c r="V626" s="29"/>
    </row>
    <row r="627">
      <c r="N627" s="31"/>
      <c r="O627" s="1"/>
      <c r="P627" s="37"/>
      <c r="Q627" s="1"/>
      <c r="R627" s="42"/>
      <c r="S627" s="1"/>
      <c r="T627" s="37"/>
      <c r="U627" s="25"/>
      <c r="V627" s="48"/>
    </row>
    <row r="628">
      <c r="N628" s="31"/>
      <c r="O628" s="1"/>
      <c r="P628" s="37"/>
      <c r="Q628" s="1"/>
      <c r="R628" s="42"/>
      <c r="S628" s="1"/>
      <c r="T628" s="37"/>
      <c r="U628" s="1"/>
      <c r="V628" s="48"/>
    </row>
    <row r="629">
      <c r="N629" s="31"/>
      <c r="O629" s="1"/>
      <c r="P629" s="37"/>
      <c r="Q629" s="1"/>
      <c r="R629" s="42"/>
      <c r="S629" s="1"/>
      <c r="T629" s="37"/>
      <c r="U629" s="1"/>
      <c r="V629" s="48"/>
    </row>
    <row r="630">
      <c r="N630" s="31"/>
      <c r="O630" s="37"/>
      <c r="P630" s="37"/>
      <c r="Q630" s="37"/>
      <c r="R630" s="42"/>
      <c r="S630" s="37"/>
      <c r="T630" s="37"/>
      <c r="U630" s="1"/>
      <c r="V630" s="29"/>
    </row>
    <row r="631">
      <c r="N631" s="31"/>
      <c r="O631" s="37"/>
      <c r="P631" s="37"/>
      <c r="Q631" s="37"/>
      <c r="R631" s="42"/>
      <c r="S631" s="37"/>
      <c r="T631" s="37"/>
      <c r="U631" s="1"/>
      <c r="V631" s="29"/>
    </row>
    <row r="632">
      <c r="N632" s="31"/>
      <c r="O632" s="37"/>
      <c r="P632" s="37"/>
      <c r="Q632" s="37"/>
      <c r="R632" s="42"/>
      <c r="S632" s="37"/>
      <c r="T632" s="37"/>
      <c r="U632" s="37"/>
      <c r="V632" s="29"/>
    </row>
    <row r="633">
      <c r="N633" s="31"/>
      <c r="O633" s="37"/>
      <c r="P633" s="37"/>
      <c r="Q633" s="37"/>
      <c r="R633" s="42"/>
      <c r="S633" s="37"/>
      <c r="T633" s="37"/>
      <c r="U633" s="1"/>
      <c r="V633" s="29"/>
    </row>
    <row r="634">
      <c r="N634" s="31"/>
      <c r="O634" s="37"/>
      <c r="P634" s="37"/>
      <c r="Q634" s="37"/>
      <c r="R634" s="42"/>
      <c r="S634" s="37"/>
      <c r="T634" s="37"/>
      <c r="U634" s="1"/>
      <c r="V634" s="29"/>
    </row>
    <row r="635">
      <c r="N635" s="31"/>
      <c r="O635" s="37"/>
      <c r="P635" s="37"/>
      <c r="Q635" s="37"/>
      <c r="R635" s="42"/>
      <c r="S635" s="37"/>
      <c r="T635" s="37"/>
      <c r="U635" s="25"/>
      <c r="V635" s="29"/>
    </row>
    <row r="636">
      <c r="N636" s="31"/>
      <c r="O636" s="37"/>
      <c r="P636" s="37"/>
      <c r="Q636" s="37"/>
      <c r="R636" s="42"/>
      <c r="S636" s="37"/>
      <c r="T636" s="37"/>
      <c r="U636" s="1"/>
      <c r="V636" s="29"/>
    </row>
    <row r="637">
      <c r="N637" s="31"/>
      <c r="O637" s="37"/>
      <c r="P637" s="37"/>
      <c r="Q637" s="37"/>
      <c r="R637" s="42"/>
      <c r="S637" s="37"/>
      <c r="T637" s="37"/>
      <c r="U637" s="1"/>
      <c r="V637" s="29"/>
    </row>
    <row r="638">
      <c r="N638" s="31"/>
      <c r="O638" s="37"/>
      <c r="P638" s="37"/>
      <c r="Q638" s="37"/>
      <c r="R638" s="42"/>
      <c r="S638" s="37"/>
      <c r="T638" s="37"/>
      <c r="U638" s="1"/>
      <c r="V638" s="29"/>
    </row>
    <row r="639">
      <c r="N639" s="31"/>
      <c r="O639" s="37"/>
      <c r="P639" s="37"/>
      <c r="Q639" s="37"/>
      <c r="R639" s="42"/>
      <c r="S639" s="37"/>
      <c r="T639" s="37"/>
      <c r="U639" s="1"/>
      <c r="V639" s="29"/>
    </row>
    <row r="640">
      <c r="N640" s="31"/>
      <c r="O640" s="37"/>
      <c r="P640" s="37"/>
      <c r="Q640" s="37"/>
      <c r="R640" s="42"/>
      <c r="S640" s="37"/>
      <c r="T640" s="37"/>
      <c r="U640" s="37"/>
      <c r="V640" s="29"/>
    </row>
    <row r="641">
      <c r="N641" s="3"/>
      <c r="O641" s="164"/>
      <c r="P641" s="164"/>
      <c r="Q641" s="164"/>
      <c r="R641" s="164"/>
      <c r="S641" s="164"/>
      <c r="T641" s="164"/>
      <c r="U641" s="1"/>
      <c r="V641" s="8"/>
    </row>
    <row r="642">
      <c r="N642" s="14"/>
      <c r="O642" s="14"/>
      <c r="P642" s="14"/>
      <c r="Q642" s="14"/>
      <c r="R642" s="18"/>
      <c r="S642" s="160"/>
      <c r="T642" s="160"/>
      <c r="U642" s="1"/>
      <c r="V642" s="15"/>
    </row>
    <row r="643">
      <c r="N643" s="15"/>
      <c r="O643" s="15"/>
      <c r="P643" s="15"/>
      <c r="Q643" s="15"/>
      <c r="R643" s="25"/>
      <c r="S643" s="25"/>
      <c r="T643" s="25"/>
      <c r="U643" s="25"/>
      <c r="V643" s="29"/>
    </row>
    <row r="644">
      <c r="N644" s="31"/>
      <c r="O644" s="32"/>
      <c r="P644" s="34"/>
      <c r="Q644" s="1"/>
      <c r="R644" s="42"/>
      <c r="S644" s="1"/>
      <c r="T644" s="37"/>
      <c r="U644" s="1"/>
      <c r="V644" s="48"/>
    </row>
    <row r="645">
      <c r="N645" s="31"/>
      <c r="O645" s="1"/>
      <c r="P645" s="37"/>
      <c r="Q645" s="1"/>
      <c r="R645" s="42"/>
      <c r="S645" s="1"/>
      <c r="T645" s="37"/>
      <c r="U645" s="1"/>
      <c r="V645" s="48"/>
    </row>
    <row r="646">
      <c r="N646" s="31"/>
      <c r="O646" s="1"/>
      <c r="P646" s="37"/>
      <c r="Q646" s="1"/>
      <c r="R646" s="42"/>
      <c r="S646" s="1"/>
      <c r="T646" s="37"/>
      <c r="U646" s="1"/>
      <c r="V646" s="29"/>
    </row>
    <row r="647">
      <c r="N647" s="31"/>
      <c r="O647" s="1"/>
      <c r="P647" s="37"/>
      <c r="Q647" s="1"/>
      <c r="R647" s="42"/>
      <c r="S647" s="1"/>
      <c r="T647" s="37"/>
      <c r="U647" s="1"/>
      <c r="V647" s="48"/>
    </row>
    <row r="648">
      <c r="N648" s="31"/>
      <c r="O648" s="1"/>
      <c r="P648" s="37"/>
      <c r="Q648" s="1"/>
      <c r="R648" s="42"/>
      <c r="S648" s="1"/>
      <c r="T648" s="37"/>
      <c r="U648" s="37"/>
      <c r="V648" s="48"/>
    </row>
    <row r="649">
      <c r="N649" s="31"/>
      <c r="O649" s="1"/>
      <c r="P649" s="37"/>
      <c r="Q649" s="1"/>
      <c r="R649" s="42"/>
      <c r="S649" s="1"/>
      <c r="T649" s="37"/>
      <c r="U649" s="1"/>
      <c r="V649" s="48"/>
    </row>
    <row r="650">
      <c r="N650" s="31"/>
      <c r="O650" s="37"/>
      <c r="P650" s="37"/>
      <c r="Q650" s="37"/>
      <c r="R650" s="42"/>
      <c r="S650" s="37"/>
      <c r="T650" s="37"/>
      <c r="U650" s="1"/>
      <c r="V650" s="29"/>
    </row>
    <row r="651">
      <c r="N651" s="31"/>
      <c r="O651" s="37"/>
      <c r="P651" s="37"/>
      <c r="Q651" s="37"/>
      <c r="R651" s="42"/>
      <c r="S651" s="37"/>
      <c r="T651" s="37"/>
      <c r="U651" s="25"/>
      <c r="V651" s="29"/>
    </row>
    <row r="652">
      <c r="N652" s="31"/>
      <c r="O652" s="37"/>
      <c r="P652" s="37"/>
      <c r="Q652" s="37"/>
      <c r="R652" s="42"/>
      <c r="S652" s="37"/>
      <c r="T652" s="37"/>
      <c r="U652" s="1"/>
      <c r="V652" s="29"/>
    </row>
    <row r="653">
      <c r="N653" s="31"/>
      <c r="O653" s="37"/>
      <c r="P653" s="37"/>
      <c r="Q653" s="37"/>
      <c r="R653" s="42"/>
      <c r="S653" s="37"/>
      <c r="T653" s="37"/>
      <c r="U653" s="1"/>
      <c r="V653" s="29"/>
    </row>
    <row r="654">
      <c r="N654" s="31"/>
      <c r="O654" s="37"/>
      <c r="P654" s="37"/>
      <c r="Q654" s="37"/>
      <c r="R654" s="42"/>
      <c r="S654" s="37"/>
      <c r="T654" s="37"/>
      <c r="U654" s="1"/>
      <c r="V654" s="29"/>
    </row>
    <row r="655">
      <c r="N655" s="31"/>
      <c r="O655" s="37"/>
      <c r="P655" s="37"/>
      <c r="Q655" s="37"/>
      <c r="R655" s="42"/>
      <c r="S655" s="37"/>
      <c r="T655" s="37"/>
      <c r="U655" s="1"/>
      <c r="V655" s="29"/>
    </row>
    <row r="656">
      <c r="N656" s="31"/>
      <c r="O656" s="37"/>
      <c r="P656" s="37"/>
      <c r="Q656" s="37"/>
      <c r="R656" s="42"/>
      <c r="S656" s="37"/>
      <c r="T656" s="37"/>
      <c r="U656" s="37"/>
      <c r="V656" s="29"/>
    </row>
    <row r="657">
      <c r="N657" s="31"/>
      <c r="O657" s="37"/>
      <c r="P657" s="37"/>
      <c r="Q657" s="37"/>
      <c r="R657" s="42"/>
      <c r="S657" s="37"/>
      <c r="T657" s="37"/>
      <c r="U657" s="1"/>
      <c r="V657" s="29"/>
    </row>
    <row r="658">
      <c r="N658" s="31"/>
      <c r="O658" s="37"/>
      <c r="P658" s="37"/>
      <c r="Q658" s="37"/>
      <c r="R658" s="42"/>
      <c r="S658" s="37"/>
      <c r="T658" s="37"/>
      <c r="U658" s="1"/>
      <c r="V658" s="29"/>
    </row>
    <row r="659">
      <c r="N659" s="31"/>
      <c r="O659" s="37"/>
      <c r="P659" s="37"/>
      <c r="Q659" s="37"/>
      <c r="R659" s="42"/>
      <c r="S659" s="37"/>
      <c r="T659" s="37"/>
      <c r="U659" s="25"/>
      <c r="V659" s="29"/>
    </row>
    <row r="660">
      <c r="N660" s="31"/>
      <c r="O660" s="37"/>
      <c r="P660" s="37"/>
      <c r="Q660" s="37"/>
      <c r="R660" s="42"/>
      <c r="S660" s="37"/>
      <c r="T660" s="37"/>
      <c r="U660" s="1"/>
      <c r="V660" s="29"/>
    </row>
    <row r="661">
      <c r="N661" s="3"/>
      <c r="O661" s="164"/>
      <c r="P661" s="164"/>
      <c r="Q661" s="164"/>
      <c r="R661" s="164"/>
      <c r="S661" s="164"/>
      <c r="T661" s="164"/>
      <c r="U661" s="1"/>
      <c r="V661" s="8"/>
    </row>
    <row r="662">
      <c r="N662" s="14"/>
      <c r="O662" s="14"/>
      <c r="P662" s="14"/>
      <c r="Q662" s="14"/>
      <c r="R662" s="18"/>
      <c r="S662" s="160"/>
      <c r="T662" s="160"/>
      <c r="U662" s="1"/>
      <c r="V662" s="15"/>
    </row>
    <row r="663">
      <c r="N663" s="15"/>
      <c r="O663" s="15"/>
      <c r="P663" s="15"/>
      <c r="Q663" s="15"/>
      <c r="R663" s="25"/>
      <c r="S663" s="25"/>
      <c r="T663" s="25"/>
      <c r="U663" s="1"/>
      <c r="V663" s="29"/>
    </row>
    <row r="664">
      <c r="N664" s="31"/>
      <c r="O664" s="32"/>
      <c r="P664" s="34"/>
      <c r="Q664" s="1"/>
      <c r="R664" s="42"/>
      <c r="S664" s="1"/>
      <c r="T664" s="37"/>
      <c r="U664" s="37"/>
      <c r="V664" s="48"/>
    </row>
    <row r="665">
      <c r="N665" s="31"/>
      <c r="O665" s="1"/>
      <c r="P665" s="37"/>
      <c r="Q665" s="1"/>
      <c r="R665" s="42"/>
      <c r="S665" s="1"/>
      <c r="T665" s="37"/>
      <c r="U665" s="1"/>
      <c r="V665" s="48"/>
    </row>
    <row r="666">
      <c r="N666" s="31"/>
      <c r="O666" s="1"/>
      <c r="P666" s="37"/>
      <c r="Q666" s="1"/>
      <c r="R666" s="42"/>
      <c r="S666" s="1"/>
      <c r="T666" s="37"/>
      <c r="U666" s="1"/>
      <c r="V666" s="29"/>
    </row>
    <row r="667">
      <c r="N667" s="31"/>
      <c r="O667" s="1"/>
      <c r="P667" s="37"/>
      <c r="Q667" s="1"/>
      <c r="R667" s="42"/>
      <c r="S667" s="1"/>
      <c r="T667" s="37"/>
      <c r="U667" s="25"/>
      <c r="V667" s="48"/>
    </row>
    <row r="668">
      <c r="N668" s="31"/>
      <c r="O668" s="1"/>
      <c r="P668" s="37"/>
      <c r="Q668" s="1"/>
      <c r="R668" s="42"/>
      <c r="S668" s="1"/>
      <c r="T668" s="37"/>
      <c r="U668" s="1"/>
      <c r="V668" s="48"/>
    </row>
    <row r="669">
      <c r="N669" s="31"/>
      <c r="O669" s="1"/>
      <c r="P669" s="37"/>
      <c r="Q669" s="1"/>
      <c r="R669" s="42"/>
      <c r="S669" s="1"/>
      <c r="T669" s="37"/>
      <c r="U669" s="1"/>
      <c r="V669" s="48"/>
    </row>
    <row r="670">
      <c r="N670" s="31"/>
      <c r="O670" s="37"/>
      <c r="P670" s="37"/>
      <c r="Q670" s="37"/>
      <c r="R670" s="42"/>
      <c r="S670" s="37"/>
      <c r="T670" s="37"/>
      <c r="U670" s="1"/>
      <c r="V670" s="29"/>
    </row>
    <row r="671">
      <c r="N671" s="31"/>
      <c r="O671" s="37"/>
      <c r="P671" s="37"/>
      <c r="Q671" s="37"/>
      <c r="R671" s="42"/>
      <c r="S671" s="37"/>
      <c r="T671" s="37"/>
      <c r="U671" s="1"/>
      <c r="V671" s="29"/>
    </row>
    <row r="672">
      <c r="N672" s="31"/>
      <c r="O672" s="37"/>
      <c r="P672" s="37"/>
      <c r="Q672" s="37"/>
      <c r="R672" s="42"/>
      <c r="S672" s="37"/>
      <c r="T672" s="37"/>
      <c r="U672" s="37"/>
      <c r="V672" s="29"/>
    </row>
    <row r="673">
      <c r="N673" s="31"/>
      <c r="O673" s="37"/>
      <c r="P673" s="37"/>
      <c r="Q673" s="37"/>
      <c r="R673" s="42"/>
      <c r="S673" s="37"/>
      <c r="T673" s="37"/>
      <c r="U673" s="1"/>
      <c r="V673" s="29"/>
    </row>
    <row r="674">
      <c r="N674" s="31"/>
      <c r="O674" s="37"/>
      <c r="P674" s="37"/>
      <c r="Q674" s="37"/>
      <c r="R674" s="42"/>
      <c r="S674" s="37"/>
      <c r="T674" s="37"/>
      <c r="U674" s="1"/>
      <c r="V674" s="29"/>
    </row>
    <row r="675">
      <c r="N675" s="31"/>
      <c r="O675" s="37"/>
      <c r="P675" s="37"/>
      <c r="Q675" s="37"/>
      <c r="R675" s="42"/>
      <c r="S675" s="37"/>
      <c r="T675" s="37"/>
      <c r="U675" s="25"/>
      <c r="V675" s="29"/>
    </row>
    <row r="676">
      <c r="N676" s="31"/>
      <c r="O676" s="37"/>
      <c r="P676" s="37"/>
      <c r="Q676" s="37"/>
      <c r="R676" s="42"/>
      <c r="S676" s="37"/>
      <c r="T676" s="37"/>
      <c r="U676" s="1"/>
      <c r="V676" s="29"/>
    </row>
    <row r="677">
      <c r="N677" s="31"/>
      <c r="O677" s="37"/>
      <c r="P677" s="37"/>
      <c r="Q677" s="37"/>
      <c r="R677" s="42"/>
      <c r="S677" s="37"/>
      <c r="T677" s="37"/>
      <c r="U677" s="1"/>
      <c r="V677" s="29"/>
    </row>
    <row r="678">
      <c r="N678" s="31"/>
      <c r="O678" s="37"/>
      <c r="P678" s="37"/>
      <c r="Q678" s="37"/>
      <c r="R678" s="42"/>
      <c r="S678" s="37"/>
      <c r="T678" s="37"/>
      <c r="U678" s="1"/>
      <c r="V678" s="29"/>
    </row>
    <row r="679">
      <c r="N679" s="31"/>
      <c r="O679" s="37"/>
      <c r="P679" s="37"/>
      <c r="Q679" s="37"/>
      <c r="R679" s="42"/>
      <c r="S679" s="37"/>
      <c r="T679" s="37"/>
      <c r="U679" s="1"/>
      <c r="V679" s="29"/>
    </row>
    <row r="680">
      <c r="N680" s="31"/>
      <c r="O680" s="37"/>
      <c r="P680" s="37"/>
      <c r="Q680" s="37"/>
      <c r="R680" s="42"/>
      <c r="S680" s="37"/>
      <c r="T680" s="37"/>
      <c r="U680" s="37"/>
      <c r="V680" s="29"/>
    </row>
    <row r="681">
      <c r="N681" s="3"/>
      <c r="O681" s="164"/>
      <c r="P681" s="164"/>
      <c r="Q681" s="164"/>
      <c r="R681" s="164"/>
      <c r="S681" s="164"/>
      <c r="T681" s="164"/>
      <c r="U681" s="1"/>
      <c r="V681" s="8"/>
    </row>
    <row r="682">
      <c r="N682" s="14"/>
      <c r="O682" s="14"/>
      <c r="P682" s="14"/>
      <c r="Q682" s="14"/>
      <c r="R682" s="18"/>
      <c r="S682" s="160"/>
      <c r="T682" s="160"/>
      <c r="U682" s="1"/>
      <c r="V682" s="15"/>
    </row>
    <row r="683">
      <c r="N683" s="15"/>
      <c r="O683" s="15"/>
      <c r="P683" s="15"/>
      <c r="Q683" s="15"/>
      <c r="R683" s="25"/>
      <c r="S683" s="25"/>
      <c r="T683" s="25"/>
      <c r="U683" s="25"/>
      <c r="V683" s="29"/>
    </row>
    <row r="684">
      <c r="N684" s="31"/>
      <c r="O684" s="32"/>
      <c r="P684" s="34"/>
      <c r="Q684" s="1"/>
      <c r="R684" s="42"/>
      <c r="S684" s="1"/>
      <c r="T684" s="37"/>
      <c r="U684" s="1"/>
      <c r="V684" s="48"/>
    </row>
    <row r="685">
      <c r="N685" s="31"/>
      <c r="O685" s="1"/>
      <c r="P685" s="37"/>
      <c r="Q685" s="1"/>
      <c r="R685" s="42"/>
      <c r="S685" s="1"/>
      <c r="T685" s="37"/>
      <c r="U685" s="1"/>
      <c r="V685" s="48"/>
    </row>
    <row r="686">
      <c r="N686" s="31"/>
      <c r="O686" s="1"/>
      <c r="P686" s="37"/>
      <c r="Q686" s="1"/>
      <c r="R686" s="42"/>
      <c r="S686" s="1"/>
      <c r="T686" s="37"/>
      <c r="U686" s="1"/>
      <c r="V686" s="29"/>
    </row>
    <row r="687">
      <c r="N687" s="31"/>
      <c r="O687" s="1"/>
      <c r="P687" s="37"/>
      <c r="Q687" s="1"/>
      <c r="R687" s="42"/>
      <c r="S687" s="1"/>
      <c r="T687" s="37"/>
      <c r="U687" s="1"/>
      <c r="V687" s="48"/>
    </row>
    <row r="688">
      <c r="N688" s="31"/>
      <c r="O688" s="1"/>
      <c r="P688" s="37"/>
      <c r="Q688" s="1"/>
      <c r="R688" s="42"/>
      <c r="S688" s="1"/>
      <c r="T688" s="37"/>
      <c r="U688" s="37"/>
      <c r="V688" s="48"/>
    </row>
    <row r="689">
      <c r="N689" s="31"/>
      <c r="O689" s="1"/>
      <c r="P689" s="37"/>
      <c r="Q689" s="1"/>
      <c r="R689" s="42"/>
      <c r="S689" s="1"/>
      <c r="T689" s="37"/>
      <c r="U689" s="1"/>
      <c r="V689" s="48"/>
    </row>
    <row r="690">
      <c r="N690" s="31"/>
      <c r="O690" s="37"/>
      <c r="P690" s="37"/>
      <c r="Q690" s="37"/>
      <c r="R690" s="42"/>
      <c r="S690" s="37"/>
      <c r="T690" s="37"/>
      <c r="U690" s="1"/>
      <c r="V690" s="29"/>
    </row>
    <row r="691">
      <c r="N691" s="31"/>
      <c r="O691" s="37"/>
      <c r="P691" s="37"/>
      <c r="Q691" s="37"/>
      <c r="R691" s="42"/>
      <c r="S691" s="37"/>
      <c r="T691" s="37"/>
      <c r="U691" s="25"/>
      <c r="V691" s="29"/>
    </row>
    <row r="692">
      <c r="N692" s="31"/>
      <c r="O692" s="37"/>
      <c r="P692" s="37"/>
      <c r="Q692" s="37"/>
      <c r="R692" s="42"/>
      <c r="S692" s="37"/>
      <c r="T692" s="37"/>
      <c r="U692" s="1"/>
      <c r="V692" s="29"/>
    </row>
    <row r="693">
      <c r="N693" s="31"/>
      <c r="O693" s="37"/>
      <c r="P693" s="37"/>
      <c r="Q693" s="37"/>
      <c r="R693" s="42"/>
      <c r="S693" s="37"/>
      <c r="T693" s="37"/>
      <c r="U693" s="1"/>
      <c r="V693" s="29"/>
    </row>
    <row r="694">
      <c r="N694" s="31"/>
      <c r="O694" s="37"/>
      <c r="P694" s="37"/>
      <c r="Q694" s="37"/>
      <c r="R694" s="42"/>
      <c r="S694" s="37"/>
      <c r="T694" s="37"/>
      <c r="U694" s="1"/>
      <c r="V694" s="29"/>
    </row>
    <row r="695">
      <c r="N695" s="31"/>
      <c r="O695" s="37"/>
      <c r="P695" s="37"/>
      <c r="Q695" s="37"/>
      <c r="R695" s="42"/>
      <c r="S695" s="37"/>
      <c r="T695" s="37"/>
      <c r="U695" s="1"/>
      <c r="V695" s="29"/>
    </row>
    <row r="696">
      <c r="N696" s="31"/>
      <c r="O696" s="37"/>
      <c r="P696" s="37"/>
      <c r="Q696" s="37"/>
      <c r="R696" s="42"/>
      <c r="S696" s="37"/>
      <c r="T696" s="37"/>
      <c r="U696" s="37"/>
      <c r="V696" s="29"/>
    </row>
    <row r="697">
      <c r="N697" s="31"/>
      <c r="O697" s="37"/>
      <c r="P697" s="37"/>
      <c r="Q697" s="37"/>
      <c r="R697" s="42"/>
      <c r="S697" s="37"/>
      <c r="T697" s="37"/>
      <c r="U697" s="1"/>
      <c r="V697" s="29"/>
    </row>
    <row r="698">
      <c r="N698" s="31"/>
      <c r="O698" s="37"/>
      <c r="P698" s="37"/>
      <c r="Q698" s="37"/>
      <c r="R698" s="42"/>
      <c r="S698" s="37"/>
      <c r="T698" s="37"/>
      <c r="U698" s="1"/>
      <c r="V698" s="29"/>
    </row>
    <row r="699">
      <c r="N699" s="31"/>
      <c r="O699" s="37"/>
      <c r="P699" s="37"/>
      <c r="Q699" s="37"/>
      <c r="R699" s="42"/>
      <c r="S699" s="37"/>
      <c r="T699" s="37"/>
      <c r="U699" s="25"/>
      <c r="V699" s="29"/>
    </row>
    <row r="700">
      <c r="N700" s="31"/>
      <c r="O700" s="37"/>
      <c r="P700" s="37"/>
      <c r="Q700" s="37"/>
      <c r="R700" s="42"/>
      <c r="S700" s="37"/>
      <c r="T700" s="37"/>
      <c r="U700" s="1"/>
      <c r="V700" s="29"/>
    </row>
    <row r="701">
      <c r="N701" s="3"/>
      <c r="O701" s="164"/>
      <c r="P701" s="164"/>
      <c r="Q701" s="164"/>
      <c r="R701" s="164"/>
      <c r="S701" s="164"/>
      <c r="T701" s="164"/>
      <c r="U701" s="1"/>
      <c r="V701" s="8"/>
    </row>
    <row r="702">
      <c r="N702" s="14"/>
      <c r="O702" s="14"/>
      <c r="P702" s="14"/>
      <c r="Q702" s="14"/>
      <c r="R702" s="18"/>
      <c r="S702" s="160"/>
      <c r="T702" s="160"/>
      <c r="U702" s="1"/>
      <c r="V702" s="15"/>
    </row>
    <row r="703">
      <c r="N703" s="15"/>
      <c r="O703" s="15"/>
      <c r="P703" s="15"/>
      <c r="Q703" s="15"/>
      <c r="R703" s="25"/>
      <c r="S703" s="25"/>
      <c r="T703" s="25"/>
      <c r="U703" s="1"/>
      <c r="V703" s="29"/>
    </row>
    <row r="704">
      <c r="N704" s="31"/>
      <c r="O704" s="32"/>
      <c r="P704" s="34"/>
      <c r="Q704" s="1"/>
      <c r="R704" s="42"/>
      <c r="S704" s="1"/>
      <c r="T704" s="37"/>
      <c r="U704" s="37"/>
      <c r="V704" s="48"/>
    </row>
    <row r="705">
      <c r="N705" s="31"/>
      <c r="O705" s="1"/>
      <c r="P705" s="37"/>
      <c r="Q705" s="1"/>
      <c r="R705" s="42"/>
      <c r="S705" s="1"/>
      <c r="T705" s="37"/>
      <c r="U705" s="1"/>
      <c r="V705" s="48"/>
    </row>
    <row r="706">
      <c r="N706" s="31"/>
      <c r="O706" s="1"/>
      <c r="P706" s="37"/>
      <c r="Q706" s="1"/>
      <c r="R706" s="42"/>
      <c r="S706" s="1"/>
      <c r="T706" s="37"/>
      <c r="U706" s="1"/>
      <c r="V706" s="29"/>
    </row>
    <row r="707">
      <c r="N707" s="31"/>
      <c r="O707" s="1"/>
      <c r="P707" s="37"/>
      <c r="Q707" s="1"/>
      <c r="R707" s="42"/>
      <c r="S707" s="1"/>
      <c r="T707" s="37"/>
      <c r="U707" s="25"/>
      <c r="V707" s="48"/>
    </row>
    <row r="708">
      <c r="N708" s="31"/>
      <c r="O708" s="1"/>
      <c r="P708" s="37"/>
      <c r="Q708" s="1"/>
      <c r="R708" s="42"/>
      <c r="S708" s="1"/>
      <c r="T708" s="37"/>
      <c r="U708" s="1"/>
      <c r="V708" s="48"/>
    </row>
    <row r="709">
      <c r="N709" s="31"/>
      <c r="O709" s="1"/>
      <c r="P709" s="37"/>
      <c r="Q709" s="1"/>
      <c r="R709" s="42"/>
      <c r="S709" s="1"/>
      <c r="T709" s="37"/>
      <c r="U709" s="1"/>
      <c r="V709" s="48"/>
    </row>
    <row r="710">
      <c r="N710" s="31"/>
      <c r="O710" s="37"/>
      <c r="P710" s="37"/>
      <c r="Q710" s="37"/>
      <c r="R710" s="42"/>
      <c r="S710" s="37"/>
      <c r="T710" s="37"/>
      <c r="U710" s="1"/>
      <c r="V710" s="29"/>
    </row>
    <row r="711">
      <c r="N711" s="31"/>
      <c r="O711" s="37"/>
      <c r="P711" s="37"/>
      <c r="Q711" s="37"/>
      <c r="R711" s="42"/>
      <c r="S711" s="37"/>
      <c r="T711" s="37"/>
      <c r="U711" s="1"/>
      <c r="V711" s="29"/>
    </row>
    <row r="712">
      <c r="N712" s="31"/>
      <c r="O712" s="37"/>
      <c r="P712" s="37"/>
      <c r="Q712" s="37"/>
      <c r="R712" s="42"/>
      <c r="S712" s="37"/>
      <c r="T712" s="37"/>
      <c r="U712" s="37"/>
      <c r="V712" s="29"/>
    </row>
    <row r="713">
      <c r="N713" s="31"/>
      <c r="O713" s="37"/>
      <c r="P713" s="37"/>
      <c r="Q713" s="37"/>
      <c r="R713" s="42"/>
      <c r="S713" s="37"/>
      <c r="T713" s="37"/>
      <c r="U713" s="1"/>
      <c r="V713" s="29"/>
    </row>
    <row r="714">
      <c r="N714" s="31"/>
      <c r="O714" s="37"/>
      <c r="P714" s="37"/>
      <c r="Q714" s="37"/>
      <c r="R714" s="42"/>
      <c r="S714" s="37"/>
      <c r="T714" s="37"/>
      <c r="U714" s="1"/>
      <c r="V714" s="29"/>
    </row>
    <row r="715">
      <c r="N715" s="31"/>
      <c r="O715" s="37"/>
      <c r="P715" s="37"/>
      <c r="Q715" s="37"/>
      <c r="R715" s="42"/>
      <c r="S715" s="37"/>
      <c r="T715" s="37"/>
      <c r="U715" s="25"/>
      <c r="V715" s="29"/>
    </row>
    <row r="716">
      <c r="N716" s="31"/>
      <c r="O716" s="37"/>
      <c r="P716" s="37"/>
      <c r="Q716" s="37"/>
      <c r="R716" s="42"/>
      <c r="S716" s="37"/>
      <c r="T716" s="37"/>
      <c r="U716" s="1"/>
      <c r="V716" s="29"/>
    </row>
    <row r="717">
      <c r="N717" s="31"/>
      <c r="O717" s="37"/>
      <c r="P717" s="37"/>
      <c r="Q717" s="37"/>
      <c r="R717" s="42"/>
      <c r="S717" s="37"/>
      <c r="T717" s="37"/>
      <c r="U717" s="1"/>
      <c r="V717" s="29"/>
    </row>
    <row r="718">
      <c r="N718" s="31"/>
      <c r="O718" s="37"/>
      <c r="P718" s="37"/>
      <c r="Q718" s="37"/>
      <c r="R718" s="42"/>
      <c r="S718" s="37"/>
      <c r="T718" s="37"/>
      <c r="U718" s="1"/>
      <c r="V718" s="29"/>
    </row>
    <row r="719">
      <c r="N719" s="31"/>
      <c r="O719" s="37"/>
      <c r="P719" s="37"/>
      <c r="Q719" s="37"/>
      <c r="R719" s="42"/>
      <c r="S719" s="37"/>
      <c r="T719" s="37"/>
      <c r="U719" s="1"/>
      <c r="V719" s="29"/>
    </row>
    <row r="720">
      <c r="N720" s="31"/>
      <c r="O720" s="37"/>
      <c r="P720" s="37"/>
      <c r="Q720" s="37"/>
      <c r="R720" s="42"/>
      <c r="S720" s="37"/>
      <c r="T720" s="37"/>
      <c r="U720" s="37"/>
      <c r="V720" s="29"/>
    </row>
    <row r="721">
      <c r="N721" s="3"/>
      <c r="O721" s="164"/>
      <c r="P721" s="164"/>
      <c r="Q721" s="164"/>
      <c r="R721" s="164"/>
      <c r="S721" s="164"/>
      <c r="T721" s="164"/>
      <c r="U721" s="1"/>
      <c r="V721" s="8"/>
    </row>
    <row r="722">
      <c r="N722" s="14"/>
      <c r="O722" s="14"/>
      <c r="P722" s="14"/>
      <c r="Q722" s="14"/>
      <c r="R722" s="18"/>
      <c r="S722" s="160"/>
      <c r="T722" s="160"/>
      <c r="U722" s="1"/>
      <c r="V722" s="15"/>
    </row>
    <row r="723">
      <c r="N723" s="15"/>
      <c r="O723" s="15"/>
      <c r="P723" s="15"/>
      <c r="Q723" s="15"/>
      <c r="R723" s="25"/>
      <c r="S723" s="25"/>
      <c r="T723" s="25"/>
      <c r="U723" s="25"/>
      <c r="V723" s="29"/>
    </row>
    <row r="724">
      <c r="N724" s="31"/>
      <c r="O724" s="32"/>
      <c r="P724" s="34"/>
      <c r="Q724" s="1"/>
      <c r="R724" s="42"/>
      <c r="S724" s="1"/>
      <c r="T724" s="37"/>
      <c r="U724" s="1"/>
      <c r="V724" s="48"/>
    </row>
    <row r="725">
      <c r="N725" s="31"/>
      <c r="O725" s="1"/>
      <c r="P725" s="37"/>
      <c r="Q725" s="1"/>
      <c r="R725" s="42"/>
      <c r="S725" s="1"/>
      <c r="T725" s="37"/>
      <c r="U725" s="1"/>
      <c r="V725" s="48"/>
    </row>
    <row r="726">
      <c r="N726" s="31"/>
      <c r="O726" s="1"/>
      <c r="P726" s="37"/>
      <c r="Q726" s="1"/>
      <c r="R726" s="42"/>
      <c r="S726" s="1"/>
      <c r="T726" s="37"/>
      <c r="U726" s="1"/>
      <c r="V726" s="29"/>
    </row>
    <row r="727">
      <c r="N727" s="31"/>
      <c r="O727" s="1"/>
      <c r="P727" s="37"/>
      <c r="Q727" s="1"/>
      <c r="R727" s="42"/>
      <c r="S727" s="1"/>
      <c r="T727" s="37"/>
      <c r="U727" s="1"/>
      <c r="V727" s="48"/>
    </row>
    <row r="728">
      <c r="N728" s="31"/>
      <c r="O728" s="1"/>
      <c r="P728" s="37"/>
      <c r="Q728" s="1"/>
      <c r="R728" s="42"/>
      <c r="S728" s="1"/>
      <c r="T728" s="37"/>
      <c r="U728" s="37"/>
      <c r="V728" s="48"/>
    </row>
    <row r="729">
      <c r="N729" s="31"/>
      <c r="O729" s="1"/>
      <c r="P729" s="37"/>
      <c r="Q729" s="1"/>
      <c r="R729" s="42"/>
      <c r="S729" s="1"/>
      <c r="T729" s="37"/>
      <c r="U729" s="1"/>
      <c r="V729" s="48"/>
    </row>
    <row r="730">
      <c r="N730" s="31"/>
      <c r="O730" s="37"/>
      <c r="P730" s="37"/>
      <c r="Q730" s="37"/>
      <c r="R730" s="42"/>
      <c r="S730" s="37"/>
      <c r="T730" s="37"/>
      <c r="U730" s="1"/>
      <c r="V730" s="29"/>
    </row>
    <row r="731">
      <c r="N731" s="31"/>
      <c r="O731" s="37"/>
      <c r="P731" s="37"/>
      <c r="Q731" s="37"/>
      <c r="R731" s="42"/>
      <c r="S731" s="37"/>
      <c r="T731" s="37"/>
      <c r="U731" s="25"/>
      <c r="V731" s="29"/>
    </row>
    <row r="732">
      <c r="N732" s="31"/>
      <c r="O732" s="37"/>
      <c r="P732" s="37"/>
      <c r="Q732" s="37"/>
      <c r="R732" s="42"/>
      <c r="S732" s="37"/>
      <c r="T732" s="37"/>
      <c r="U732" s="1"/>
      <c r="V732" s="29"/>
    </row>
    <row r="733">
      <c r="N733" s="31"/>
      <c r="O733" s="37"/>
      <c r="P733" s="37"/>
      <c r="Q733" s="37"/>
      <c r="R733" s="42"/>
      <c r="S733" s="37"/>
      <c r="T733" s="37"/>
      <c r="U733" s="1"/>
      <c r="V733" s="29"/>
    </row>
    <row r="734">
      <c r="N734" s="31"/>
      <c r="O734" s="37"/>
      <c r="P734" s="37"/>
      <c r="Q734" s="37"/>
      <c r="R734" s="42"/>
      <c r="S734" s="37"/>
      <c r="T734" s="37"/>
      <c r="U734" s="1"/>
      <c r="V734" s="29"/>
    </row>
    <row r="735">
      <c r="N735" s="31"/>
      <c r="O735" s="37"/>
      <c r="P735" s="37"/>
      <c r="Q735" s="37"/>
      <c r="R735" s="42"/>
      <c r="S735" s="37"/>
      <c r="T735" s="37"/>
      <c r="U735" s="1"/>
      <c r="V735" s="29"/>
    </row>
    <row r="736">
      <c r="N736" s="31"/>
      <c r="O736" s="37"/>
      <c r="P736" s="37"/>
      <c r="Q736" s="37"/>
      <c r="R736" s="42"/>
      <c r="S736" s="37"/>
      <c r="T736" s="37"/>
      <c r="U736" s="37"/>
      <c r="V736" s="29"/>
    </row>
    <row r="737">
      <c r="N737" s="31"/>
      <c r="O737" s="37"/>
      <c r="P737" s="37"/>
      <c r="Q737" s="37"/>
      <c r="R737" s="42"/>
      <c r="S737" s="37"/>
      <c r="T737" s="37"/>
      <c r="U737" s="1"/>
      <c r="V737" s="29"/>
    </row>
    <row r="738">
      <c r="N738" s="31"/>
      <c r="O738" s="37"/>
      <c r="P738" s="37"/>
      <c r="Q738" s="37"/>
      <c r="R738" s="42"/>
      <c r="S738" s="37"/>
      <c r="T738" s="37"/>
      <c r="U738" s="1"/>
      <c r="V738" s="29"/>
    </row>
    <row r="739">
      <c r="N739" s="31"/>
      <c r="O739" s="37"/>
      <c r="P739" s="37"/>
      <c r="Q739" s="37"/>
      <c r="R739" s="42"/>
      <c r="S739" s="37"/>
      <c r="T739" s="37"/>
      <c r="U739" s="25"/>
      <c r="V739" s="29"/>
    </row>
    <row r="740">
      <c r="N740" s="31"/>
      <c r="O740" s="37"/>
      <c r="P740" s="37"/>
      <c r="Q740" s="37"/>
      <c r="R740" s="42"/>
      <c r="S740" s="37"/>
      <c r="T740" s="37"/>
      <c r="U740" s="1"/>
      <c r="V740" s="29"/>
    </row>
    <row r="741">
      <c r="N741" s="3"/>
      <c r="O741" s="164"/>
      <c r="P741" s="164"/>
      <c r="Q741" s="164"/>
      <c r="R741" s="164"/>
      <c r="S741" s="164"/>
      <c r="T741" s="164"/>
      <c r="U741" s="1"/>
      <c r="V741" s="8"/>
    </row>
    <row r="742">
      <c r="N742" s="14"/>
      <c r="O742" s="14"/>
      <c r="P742" s="14"/>
      <c r="Q742" s="14"/>
      <c r="R742" s="18"/>
      <c r="S742" s="160"/>
      <c r="T742" s="160"/>
      <c r="U742" s="1"/>
      <c r="V742" s="15"/>
    </row>
    <row r="743">
      <c r="N743" s="15"/>
      <c r="O743" s="15"/>
      <c r="P743" s="15"/>
      <c r="Q743" s="15"/>
      <c r="R743" s="25"/>
      <c r="S743" s="25"/>
      <c r="T743" s="25"/>
      <c r="U743" s="1"/>
      <c r="V743" s="29"/>
    </row>
    <row r="744">
      <c r="N744" s="31"/>
      <c r="O744" s="32"/>
      <c r="P744" s="34"/>
      <c r="Q744" s="1"/>
      <c r="R744" s="42"/>
      <c r="S744" s="1"/>
      <c r="T744" s="37"/>
      <c r="U744" s="37"/>
      <c r="V744" s="48"/>
    </row>
    <row r="745">
      <c r="N745" s="31"/>
      <c r="O745" s="1"/>
      <c r="P745" s="37"/>
      <c r="Q745" s="1"/>
      <c r="R745" s="42"/>
      <c r="S745" s="1"/>
      <c r="T745" s="37"/>
      <c r="U745" s="1"/>
      <c r="V745" s="48"/>
    </row>
    <row r="746">
      <c r="N746" s="31"/>
      <c r="O746" s="1"/>
      <c r="P746" s="37"/>
      <c r="Q746" s="1"/>
      <c r="R746" s="42"/>
      <c r="S746" s="1"/>
      <c r="T746" s="37"/>
      <c r="U746" s="1"/>
      <c r="V746" s="29"/>
    </row>
    <row r="747">
      <c r="N747" s="31"/>
      <c r="O747" s="1"/>
      <c r="P747" s="37"/>
      <c r="Q747" s="1"/>
      <c r="R747" s="42"/>
      <c r="S747" s="1"/>
      <c r="T747" s="37"/>
      <c r="U747" s="25"/>
      <c r="V747" s="48"/>
    </row>
    <row r="748">
      <c r="N748" s="31"/>
      <c r="O748" s="1"/>
      <c r="P748" s="37"/>
      <c r="Q748" s="1"/>
      <c r="R748" s="42"/>
      <c r="S748" s="1"/>
      <c r="T748" s="37"/>
      <c r="U748" s="1"/>
      <c r="V748" s="48"/>
    </row>
    <row r="749">
      <c r="N749" s="31"/>
      <c r="O749" s="1"/>
      <c r="P749" s="37"/>
      <c r="Q749" s="1"/>
      <c r="R749" s="42"/>
      <c r="S749" s="1"/>
      <c r="T749" s="37"/>
      <c r="U749" s="1"/>
      <c r="V749" s="48"/>
    </row>
    <row r="750">
      <c r="N750" s="31"/>
      <c r="O750" s="37"/>
      <c r="P750" s="37"/>
      <c r="Q750" s="37"/>
      <c r="R750" s="42"/>
      <c r="S750" s="37"/>
      <c r="T750" s="37"/>
      <c r="U750" s="1"/>
      <c r="V750" s="29"/>
    </row>
    <row r="751">
      <c r="N751" s="31"/>
      <c r="O751" s="37"/>
      <c r="P751" s="37"/>
      <c r="Q751" s="37"/>
      <c r="R751" s="42"/>
      <c r="S751" s="37"/>
      <c r="T751" s="37"/>
      <c r="U751" s="1"/>
      <c r="V751" s="29"/>
    </row>
    <row r="752">
      <c r="N752" s="31"/>
      <c r="O752" s="37"/>
      <c r="P752" s="37"/>
      <c r="Q752" s="37"/>
      <c r="R752" s="42"/>
      <c r="S752" s="37"/>
      <c r="T752" s="37"/>
      <c r="U752" s="37"/>
      <c r="V752" s="29"/>
    </row>
    <row r="753">
      <c r="N753" s="31"/>
      <c r="O753" s="37"/>
      <c r="P753" s="37"/>
      <c r="Q753" s="37"/>
      <c r="R753" s="42"/>
      <c r="S753" s="37"/>
      <c r="T753" s="37"/>
      <c r="U753" s="1"/>
      <c r="V753" s="29"/>
    </row>
    <row r="754">
      <c r="N754" s="31"/>
      <c r="O754" s="37"/>
      <c r="P754" s="37"/>
      <c r="Q754" s="37"/>
      <c r="R754" s="42"/>
      <c r="S754" s="37"/>
      <c r="T754" s="37"/>
      <c r="U754" s="1"/>
      <c r="V754" s="29"/>
    </row>
    <row r="755">
      <c r="N755" s="31"/>
      <c r="O755" s="37"/>
      <c r="P755" s="37"/>
      <c r="Q755" s="37"/>
      <c r="R755" s="42"/>
      <c r="S755" s="37"/>
      <c r="T755" s="37"/>
      <c r="U755" s="25"/>
      <c r="V755" s="29"/>
    </row>
    <row r="756">
      <c r="N756" s="31"/>
      <c r="O756" s="37"/>
      <c r="P756" s="37"/>
      <c r="Q756" s="37"/>
      <c r="R756" s="42"/>
      <c r="S756" s="37"/>
      <c r="T756" s="37"/>
      <c r="U756" s="1"/>
      <c r="V756" s="29"/>
    </row>
    <row r="757">
      <c r="N757" s="31"/>
      <c r="O757" s="37"/>
      <c r="P757" s="37"/>
      <c r="Q757" s="37"/>
      <c r="R757" s="42"/>
      <c r="S757" s="37"/>
      <c r="T757" s="37"/>
      <c r="U757" s="1"/>
      <c r="V757" s="29"/>
    </row>
    <row r="758">
      <c r="N758" s="31"/>
      <c r="O758" s="37"/>
      <c r="P758" s="37"/>
      <c r="Q758" s="37"/>
      <c r="R758" s="42"/>
      <c r="S758" s="37"/>
      <c r="T758" s="37"/>
      <c r="U758" s="1"/>
      <c r="V758" s="29"/>
    </row>
    <row r="759">
      <c r="N759" s="31"/>
      <c r="O759" s="37"/>
      <c r="P759" s="37"/>
      <c r="Q759" s="37"/>
      <c r="R759" s="42"/>
      <c r="S759" s="37"/>
      <c r="T759" s="37"/>
      <c r="U759" s="1"/>
      <c r="V759" s="29"/>
    </row>
    <row r="760">
      <c r="N760" s="31"/>
      <c r="O760" s="37"/>
      <c r="P760" s="37"/>
      <c r="Q760" s="37"/>
      <c r="R760" s="42"/>
      <c r="S760" s="37"/>
      <c r="T760" s="37"/>
      <c r="U760" s="37"/>
      <c r="V760" s="29"/>
    </row>
    <row r="761">
      <c r="N761" s="3"/>
      <c r="O761" s="164"/>
      <c r="P761" s="164"/>
      <c r="Q761" s="164"/>
      <c r="R761" s="164"/>
      <c r="S761" s="164"/>
      <c r="T761" s="164"/>
      <c r="U761" s="1"/>
      <c r="V761" s="8"/>
    </row>
    <row r="762">
      <c r="N762" s="14"/>
      <c r="O762" s="14"/>
      <c r="P762" s="14"/>
      <c r="Q762" s="14"/>
      <c r="R762" s="18"/>
      <c r="S762" s="160"/>
      <c r="T762" s="160"/>
      <c r="U762" s="1"/>
      <c r="V762" s="15"/>
    </row>
    <row r="763">
      <c r="N763" s="15"/>
      <c r="O763" s="15"/>
      <c r="P763" s="15"/>
      <c r="Q763" s="15"/>
      <c r="R763" s="25"/>
      <c r="S763" s="25"/>
      <c r="T763" s="25"/>
      <c r="U763" s="25"/>
      <c r="V763" s="29"/>
    </row>
    <row r="764">
      <c r="N764" s="31"/>
      <c r="O764" s="32"/>
      <c r="P764" s="34"/>
      <c r="Q764" s="1"/>
      <c r="R764" s="42"/>
      <c r="S764" s="1"/>
      <c r="T764" s="37"/>
      <c r="U764" s="1"/>
      <c r="V764" s="48"/>
    </row>
    <row r="765">
      <c r="N765" s="31"/>
      <c r="O765" s="1"/>
      <c r="P765" s="37"/>
      <c r="Q765" s="1"/>
      <c r="R765" s="42"/>
      <c r="S765" s="1"/>
      <c r="T765" s="37"/>
      <c r="U765" s="1"/>
      <c r="V765" s="48"/>
    </row>
    <row r="766">
      <c r="N766" s="31"/>
      <c r="O766" s="1"/>
      <c r="P766" s="37"/>
      <c r="Q766" s="1"/>
      <c r="R766" s="42"/>
      <c r="S766" s="1"/>
      <c r="T766" s="37"/>
      <c r="U766" s="1"/>
      <c r="V766" s="29"/>
    </row>
    <row r="767">
      <c r="N767" s="31"/>
      <c r="O767" s="1"/>
      <c r="P767" s="37"/>
      <c r="Q767" s="1"/>
      <c r="R767" s="42"/>
      <c r="S767" s="1"/>
      <c r="T767" s="37"/>
      <c r="U767" s="1"/>
      <c r="V767" s="48"/>
    </row>
    <row r="768">
      <c r="N768" s="31"/>
      <c r="O768" s="1"/>
      <c r="P768" s="37"/>
      <c r="Q768" s="1"/>
      <c r="R768" s="42"/>
      <c r="S768" s="1"/>
      <c r="T768" s="37"/>
      <c r="U768" s="37"/>
      <c r="V768" s="48"/>
    </row>
    <row r="769">
      <c r="N769" s="31"/>
      <c r="O769" s="1"/>
      <c r="P769" s="37"/>
      <c r="Q769" s="1"/>
      <c r="R769" s="42"/>
      <c r="S769" s="1"/>
      <c r="T769" s="37"/>
      <c r="U769" s="1"/>
      <c r="V769" s="48"/>
    </row>
    <row r="770">
      <c r="N770" s="31"/>
      <c r="O770" s="37"/>
      <c r="P770" s="37"/>
      <c r="Q770" s="37"/>
      <c r="R770" s="42"/>
      <c r="S770" s="37"/>
      <c r="T770" s="37"/>
      <c r="U770" s="1"/>
      <c r="V770" s="29"/>
    </row>
    <row r="771">
      <c r="N771" s="31"/>
      <c r="O771" s="37"/>
      <c r="P771" s="37"/>
      <c r="Q771" s="37"/>
      <c r="R771" s="42"/>
      <c r="S771" s="37"/>
      <c r="T771" s="37"/>
      <c r="U771" s="25"/>
      <c r="V771" s="29"/>
    </row>
    <row r="772">
      <c r="N772" s="31"/>
      <c r="O772" s="37"/>
      <c r="P772" s="37"/>
      <c r="Q772" s="37"/>
      <c r="R772" s="42"/>
      <c r="S772" s="37"/>
      <c r="T772" s="37"/>
      <c r="U772" s="1"/>
      <c r="V772" s="29"/>
    </row>
    <row r="773">
      <c r="N773" s="31"/>
      <c r="O773" s="37"/>
      <c r="P773" s="37"/>
      <c r="Q773" s="37"/>
      <c r="R773" s="42"/>
      <c r="S773" s="37"/>
      <c r="T773" s="37"/>
      <c r="U773" s="1"/>
      <c r="V773" s="29"/>
    </row>
    <row r="774">
      <c r="N774" s="31"/>
      <c r="O774" s="37"/>
      <c r="P774" s="37"/>
      <c r="Q774" s="37"/>
      <c r="R774" s="42"/>
      <c r="S774" s="37"/>
      <c r="T774" s="37"/>
      <c r="U774" s="1"/>
      <c r="V774" s="29"/>
    </row>
    <row r="775">
      <c r="N775" s="31"/>
      <c r="O775" s="37"/>
      <c r="P775" s="37"/>
      <c r="Q775" s="37"/>
      <c r="R775" s="42"/>
      <c r="S775" s="37"/>
      <c r="T775" s="37"/>
      <c r="U775" s="1"/>
      <c r="V775" s="29"/>
    </row>
    <row r="776">
      <c r="N776" s="31"/>
      <c r="O776" s="37"/>
      <c r="P776" s="37"/>
      <c r="Q776" s="37"/>
      <c r="R776" s="42"/>
      <c r="S776" s="37"/>
      <c r="T776" s="37"/>
      <c r="U776" s="37"/>
      <c r="V776" s="29"/>
    </row>
    <row r="777">
      <c r="N777" s="31"/>
      <c r="O777" s="37"/>
      <c r="P777" s="37"/>
      <c r="Q777" s="37"/>
      <c r="R777" s="42"/>
      <c r="S777" s="37"/>
      <c r="T777" s="37"/>
      <c r="U777" s="1"/>
      <c r="V777" s="29"/>
    </row>
    <row r="778">
      <c r="N778" s="31"/>
      <c r="O778" s="37"/>
      <c r="P778" s="37"/>
      <c r="Q778" s="37"/>
      <c r="R778" s="42"/>
      <c r="S778" s="37"/>
      <c r="T778" s="37"/>
      <c r="U778" s="1"/>
      <c r="V778" s="29"/>
    </row>
    <row r="779">
      <c r="N779" s="31"/>
      <c r="O779" s="37"/>
      <c r="P779" s="37"/>
      <c r="Q779" s="37"/>
      <c r="R779" s="42"/>
      <c r="S779" s="37"/>
      <c r="T779" s="37"/>
      <c r="U779" s="25"/>
      <c r="V779" s="29"/>
    </row>
    <row r="780">
      <c r="N780" s="31"/>
      <c r="O780" s="37"/>
      <c r="P780" s="37"/>
      <c r="Q780" s="37"/>
      <c r="R780" s="42"/>
      <c r="S780" s="37"/>
      <c r="T780" s="37"/>
      <c r="U780" s="1"/>
      <c r="V780" s="29"/>
    </row>
    <row r="781">
      <c r="N781" s="3"/>
      <c r="O781" s="164"/>
      <c r="P781" s="164"/>
      <c r="Q781" s="164"/>
      <c r="R781" s="164"/>
      <c r="S781" s="164"/>
      <c r="T781" s="164"/>
      <c r="U781" s="1"/>
      <c r="V781" s="8"/>
    </row>
    <row r="782">
      <c r="N782" s="14"/>
      <c r="O782" s="14"/>
      <c r="P782" s="14"/>
      <c r="Q782" s="14"/>
      <c r="R782" s="18"/>
      <c r="S782" s="160"/>
      <c r="T782" s="160"/>
      <c r="U782" s="1"/>
      <c r="V782" s="15"/>
    </row>
    <row r="783">
      <c r="N783" s="15"/>
      <c r="O783" s="15"/>
      <c r="P783" s="15"/>
      <c r="Q783" s="15"/>
      <c r="R783" s="25"/>
      <c r="S783" s="25"/>
      <c r="T783" s="25"/>
      <c r="U783" s="1"/>
      <c r="V783" s="29"/>
    </row>
    <row r="784">
      <c r="N784" s="31"/>
      <c r="O784" s="32"/>
      <c r="P784" s="34"/>
      <c r="Q784" s="1"/>
      <c r="R784" s="42"/>
      <c r="S784" s="1"/>
      <c r="T784" s="37"/>
      <c r="U784" s="37"/>
      <c r="V784" s="48"/>
    </row>
    <row r="785">
      <c r="N785" s="31"/>
      <c r="O785" s="1"/>
      <c r="P785" s="37"/>
      <c r="Q785" s="1"/>
      <c r="R785" s="42"/>
      <c r="S785" s="1"/>
      <c r="T785" s="37"/>
      <c r="U785" s="1"/>
      <c r="V785" s="48"/>
    </row>
    <row r="786">
      <c r="N786" s="31"/>
      <c r="O786" s="1"/>
      <c r="P786" s="37"/>
      <c r="Q786" s="1"/>
      <c r="R786" s="42"/>
      <c r="S786" s="1"/>
      <c r="T786" s="37"/>
      <c r="U786" s="1"/>
      <c r="V786" s="29"/>
    </row>
    <row r="787">
      <c r="N787" s="31"/>
      <c r="O787" s="1"/>
      <c r="P787" s="37"/>
      <c r="Q787" s="1"/>
      <c r="R787" s="42"/>
      <c r="S787" s="1"/>
      <c r="T787" s="37"/>
      <c r="U787" s="25"/>
      <c r="V787" s="48"/>
    </row>
    <row r="788">
      <c r="N788" s="31"/>
      <c r="O788" s="1"/>
      <c r="P788" s="37"/>
      <c r="Q788" s="1"/>
      <c r="R788" s="42"/>
      <c r="S788" s="1"/>
      <c r="T788" s="37"/>
      <c r="U788" s="1"/>
      <c r="V788" s="48"/>
    </row>
    <row r="789">
      <c r="N789" s="31"/>
      <c r="O789" s="1"/>
      <c r="P789" s="37"/>
      <c r="Q789" s="1"/>
      <c r="R789" s="42"/>
      <c r="S789" s="1"/>
      <c r="T789" s="37"/>
      <c r="U789" s="1"/>
      <c r="V789" s="48"/>
    </row>
    <row r="790">
      <c r="N790" s="31"/>
      <c r="O790" s="37"/>
      <c r="P790" s="37"/>
      <c r="Q790" s="37"/>
      <c r="R790" s="42"/>
      <c r="S790" s="37"/>
      <c r="T790" s="37"/>
      <c r="U790" s="1"/>
      <c r="V790" s="29"/>
    </row>
    <row r="791">
      <c r="N791" s="31"/>
      <c r="O791" s="37"/>
      <c r="P791" s="37"/>
      <c r="Q791" s="37"/>
      <c r="R791" s="42"/>
      <c r="S791" s="37"/>
      <c r="T791" s="37"/>
      <c r="U791" s="1"/>
      <c r="V791" s="29"/>
    </row>
    <row r="792">
      <c r="N792" s="31"/>
      <c r="O792" s="37"/>
      <c r="P792" s="37"/>
      <c r="Q792" s="37"/>
      <c r="R792" s="42"/>
      <c r="S792" s="37"/>
      <c r="T792" s="37"/>
      <c r="U792" s="37"/>
      <c r="V792" s="29"/>
    </row>
    <row r="793">
      <c r="N793" s="31"/>
      <c r="O793" s="37"/>
      <c r="P793" s="37"/>
      <c r="Q793" s="37"/>
      <c r="R793" s="42"/>
      <c r="S793" s="37"/>
      <c r="T793" s="37"/>
      <c r="U793" s="1"/>
      <c r="V793" s="29"/>
    </row>
    <row r="794">
      <c r="N794" s="31"/>
      <c r="O794" s="37"/>
      <c r="P794" s="37"/>
      <c r="Q794" s="37"/>
      <c r="R794" s="42"/>
      <c r="S794" s="37"/>
      <c r="T794" s="37"/>
      <c r="U794" s="1"/>
      <c r="V794" s="29"/>
    </row>
    <row r="795">
      <c r="N795" s="31"/>
      <c r="O795" s="37"/>
      <c r="P795" s="37"/>
      <c r="Q795" s="37"/>
      <c r="R795" s="42"/>
      <c r="S795" s="37"/>
      <c r="T795" s="37"/>
      <c r="U795" s="25"/>
      <c r="V795" s="29"/>
    </row>
    <row r="796">
      <c r="N796" s="31"/>
      <c r="O796" s="37"/>
      <c r="P796" s="37"/>
      <c r="Q796" s="37"/>
      <c r="R796" s="42"/>
      <c r="S796" s="37"/>
      <c r="T796" s="37"/>
      <c r="U796" s="1"/>
      <c r="V796" s="29"/>
    </row>
    <row r="797">
      <c r="N797" s="31"/>
      <c r="O797" s="37"/>
      <c r="P797" s="37"/>
      <c r="Q797" s="37"/>
      <c r="R797" s="42"/>
      <c r="S797" s="37"/>
      <c r="T797" s="37"/>
      <c r="U797" s="1"/>
      <c r="V797" s="29"/>
    </row>
    <row r="798">
      <c r="N798" s="31"/>
      <c r="O798" s="37"/>
      <c r="P798" s="37"/>
      <c r="Q798" s="37"/>
      <c r="R798" s="42"/>
      <c r="S798" s="37"/>
      <c r="T798" s="37"/>
      <c r="U798" s="1"/>
      <c r="V798" s="29"/>
    </row>
    <row r="799">
      <c r="N799" s="31"/>
      <c r="O799" s="37"/>
      <c r="P799" s="37"/>
      <c r="Q799" s="37"/>
      <c r="R799" s="42"/>
      <c r="S799" s="37"/>
      <c r="T799" s="37"/>
      <c r="U799" s="1"/>
      <c r="V799" s="29"/>
    </row>
    <row r="800">
      <c r="N800" s="31"/>
      <c r="O800" s="37"/>
      <c r="P800" s="37"/>
      <c r="Q800" s="37"/>
      <c r="R800" s="42"/>
      <c r="S800" s="37"/>
      <c r="T800" s="37"/>
      <c r="U800" s="37"/>
      <c r="V800" s="29"/>
    </row>
    <row r="801">
      <c r="N801" s="3"/>
      <c r="O801" s="164"/>
      <c r="P801" s="164"/>
      <c r="Q801" s="164"/>
      <c r="R801" s="164"/>
      <c r="S801" s="164"/>
      <c r="T801" s="164"/>
      <c r="U801" s="1"/>
      <c r="V801" s="8"/>
    </row>
    <row r="802">
      <c r="N802" s="14"/>
      <c r="O802" s="14"/>
      <c r="P802" s="14"/>
      <c r="Q802" s="14"/>
      <c r="R802" s="18"/>
      <c r="S802" s="160"/>
      <c r="T802" s="160"/>
      <c r="U802" s="1"/>
      <c r="V802" s="15"/>
    </row>
    <row r="803">
      <c r="N803" s="15"/>
      <c r="O803" s="15"/>
      <c r="P803" s="15"/>
      <c r="Q803" s="15"/>
      <c r="R803" s="25"/>
      <c r="S803" s="25"/>
      <c r="T803" s="25"/>
      <c r="U803" s="25"/>
      <c r="V803" s="29"/>
    </row>
    <row r="804">
      <c r="N804" s="31"/>
      <c r="O804" s="32"/>
      <c r="P804" s="34"/>
      <c r="Q804" s="1"/>
      <c r="R804" s="42"/>
      <c r="S804" s="1"/>
      <c r="T804" s="37"/>
      <c r="U804" s="1"/>
      <c r="V804" s="48"/>
    </row>
    <row r="805">
      <c r="N805" s="31"/>
      <c r="O805" s="1"/>
      <c r="P805" s="37"/>
      <c r="Q805" s="1"/>
      <c r="R805" s="42"/>
      <c r="S805" s="1"/>
      <c r="T805" s="37"/>
      <c r="U805" s="1"/>
      <c r="V805" s="48"/>
    </row>
    <row r="806">
      <c r="N806" s="31"/>
      <c r="O806" s="1"/>
      <c r="P806" s="37"/>
      <c r="Q806" s="1"/>
      <c r="R806" s="42"/>
      <c r="S806" s="1"/>
      <c r="T806" s="37"/>
      <c r="U806" s="1"/>
      <c r="V806" s="29"/>
    </row>
    <row r="807">
      <c r="N807" s="31"/>
      <c r="O807" s="1"/>
      <c r="P807" s="37"/>
      <c r="Q807" s="1"/>
      <c r="R807" s="42"/>
      <c r="S807" s="1"/>
      <c r="T807" s="37"/>
      <c r="U807" s="1"/>
      <c r="V807" s="48"/>
    </row>
    <row r="808">
      <c r="N808" s="31"/>
      <c r="O808" s="1"/>
      <c r="P808" s="37"/>
      <c r="Q808" s="1"/>
      <c r="R808" s="42"/>
      <c r="S808" s="1"/>
      <c r="T808" s="37"/>
      <c r="U808" s="37"/>
      <c r="V808" s="48"/>
    </row>
    <row r="809">
      <c r="N809" s="31"/>
      <c r="O809" s="1"/>
      <c r="P809" s="37"/>
      <c r="Q809" s="1"/>
      <c r="R809" s="42"/>
      <c r="S809" s="1"/>
      <c r="T809" s="37"/>
      <c r="U809" s="1"/>
      <c r="V809" s="48"/>
    </row>
    <row r="810">
      <c r="N810" s="31"/>
      <c r="O810" s="37"/>
      <c r="P810" s="37"/>
      <c r="Q810" s="37"/>
      <c r="R810" s="42"/>
      <c r="S810" s="37"/>
      <c r="T810" s="37"/>
      <c r="U810" s="1"/>
      <c r="V810" s="29"/>
    </row>
    <row r="811">
      <c r="N811" s="31"/>
      <c r="O811" s="37"/>
      <c r="P811" s="37"/>
      <c r="Q811" s="37"/>
      <c r="R811" s="42"/>
      <c r="S811" s="37"/>
      <c r="T811" s="37"/>
      <c r="U811" s="25"/>
      <c r="V811" s="29"/>
    </row>
    <row r="812">
      <c r="N812" s="31"/>
      <c r="O812" s="37"/>
      <c r="P812" s="37"/>
      <c r="Q812" s="37"/>
      <c r="R812" s="42"/>
      <c r="S812" s="37"/>
      <c r="T812" s="37"/>
      <c r="U812" s="1"/>
      <c r="V812" s="29"/>
    </row>
    <row r="813">
      <c r="N813" s="31"/>
      <c r="O813" s="37"/>
      <c r="P813" s="37"/>
      <c r="Q813" s="37"/>
      <c r="R813" s="42"/>
      <c r="S813" s="37"/>
      <c r="T813" s="37"/>
      <c r="U813" s="1"/>
      <c r="V813" s="29"/>
    </row>
    <row r="814">
      <c r="N814" s="31"/>
      <c r="O814" s="37"/>
      <c r="P814" s="37"/>
      <c r="Q814" s="37"/>
      <c r="R814" s="42"/>
      <c r="S814" s="37"/>
      <c r="T814" s="37"/>
      <c r="U814" s="1"/>
      <c r="V814" s="29"/>
    </row>
    <row r="815">
      <c r="N815" s="31"/>
      <c r="O815" s="37"/>
      <c r="P815" s="37"/>
      <c r="Q815" s="37"/>
      <c r="R815" s="42"/>
      <c r="S815" s="37"/>
      <c r="T815" s="37"/>
      <c r="U815" s="1"/>
      <c r="V815" s="29"/>
    </row>
    <row r="816">
      <c r="N816" s="31"/>
      <c r="O816" s="37"/>
      <c r="P816" s="37"/>
      <c r="Q816" s="37"/>
      <c r="R816" s="42"/>
      <c r="S816" s="37"/>
      <c r="T816" s="37"/>
      <c r="U816" s="37"/>
      <c r="V816" s="29"/>
    </row>
    <row r="817">
      <c r="N817" s="31"/>
      <c r="O817" s="37"/>
      <c r="P817" s="37"/>
      <c r="Q817" s="37"/>
      <c r="R817" s="42"/>
      <c r="S817" s="37"/>
      <c r="T817" s="37"/>
      <c r="U817" s="1"/>
      <c r="V817" s="29"/>
    </row>
    <row r="818">
      <c r="N818" s="31"/>
      <c r="O818" s="37"/>
      <c r="P818" s="37"/>
      <c r="Q818" s="37"/>
      <c r="R818" s="42"/>
      <c r="S818" s="37"/>
      <c r="T818" s="37"/>
      <c r="U818" s="1"/>
      <c r="V818" s="29"/>
    </row>
    <row r="819">
      <c r="N819" s="31"/>
      <c r="O819" s="37"/>
      <c r="P819" s="37"/>
      <c r="Q819" s="37"/>
      <c r="R819" s="42"/>
      <c r="S819" s="37"/>
      <c r="T819" s="37"/>
      <c r="U819" s="25"/>
      <c r="V819" s="29"/>
    </row>
    <row r="820">
      <c r="N820" s="31"/>
      <c r="O820" s="37"/>
      <c r="P820" s="37"/>
      <c r="Q820" s="37"/>
      <c r="R820" s="42"/>
      <c r="S820" s="37"/>
      <c r="T820" s="37"/>
      <c r="U820" s="1"/>
      <c r="V820" s="29"/>
    </row>
    <row r="821">
      <c r="N821" s="3"/>
      <c r="O821" s="164"/>
      <c r="P821" s="164"/>
      <c r="Q821" s="164"/>
      <c r="R821" s="164"/>
      <c r="S821" s="164"/>
      <c r="T821" s="164"/>
      <c r="U821" s="1"/>
      <c r="V821" s="8"/>
    </row>
    <row r="822">
      <c r="N822" s="14"/>
      <c r="O822" s="14"/>
      <c r="P822" s="14"/>
      <c r="Q822" s="14"/>
      <c r="R822" s="18"/>
      <c r="S822" s="160"/>
      <c r="T822" s="160"/>
      <c r="U822" s="1"/>
      <c r="V822" s="15"/>
    </row>
    <row r="823">
      <c r="N823" s="15"/>
      <c r="O823" s="15"/>
      <c r="P823" s="15"/>
      <c r="Q823" s="15"/>
      <c r="R823" s="25"/>
      <c r="S823" s="25"/>
      <c r="T823" s="25"/>
      <c r="U823" s="1"/>
      <c r="V823" s="29"/>
    </row>
    <row r="824">
      <c r="N824" s="31"/>
      <c r="O824" s="32"/>
      <c r="P824" s="34"/>
      <c r="Q824" s="1"/>
      <c r="R824" s="42"/>
      <c r="S824" s="1"/>
      <c r="T824" s="37"/>
      <c r="U824" s="37"/>
      <c r="V824" s="48"/>
    </row>
    <row r="825">
      <c r="N825" s="31"/>
      <c r="O825" s="1"/>
      <c r="P825" s="37"/>
      <c r="Q825" s="1"/>
      <c r="R825" s="42"/>
      <c r="S825" s="1"/>
      <c r="T825" s="37"/>
      <c r="U825" s="1"/>
      <c r="V825" s="48"/>
    </row>
    <row r="826">
      <c r="N826" s="31"/>
      <c r="O826" s="1"/>
      <c r="P826" s="37"/>
      <c r="Q826" s="1"/>
      <c r="R826" s="42"/>
      <c r="S826" s="1"/>
      <c r="T826" s="37"/>
      <c r="U826" s="1"/>
      <c r="V826" s="29"/>
    </row>
    <row r="827">
      <c r="N827" s="31"/>
      <c r="O827" s="1"/>
      <c r="P827" s="37"/>
      <c r="Q827" s="1"/>
      <c r="R827" s="42"/>
      <c r="S827" s="1"/>
      <c r="T827" s="37"/>
      <c r="U827" s="25"/>
      <c r="V827" s="48"/>
    </row>
    <row r="828">
      <c r="N828" s="31"/>
      <c r="O828" s="1"/>
      <c r="P828" s="37"/>
      <c r="Q828" s="1"/>
      <c r="R828" s="42"/>
      <c r="S828" s="1"/>
      <c r="T828" s="37"/>
      <c r="U828" s="1"/>
      <c r="V828" s="48"/>
    </row>
    <row r="829">
      <c r="N829" s="31"/>
      <c r="O829" s="1"/>
      <c r="P829" s="37"/>
      <c r="Q829" s="1"/>
      <c r="R829" s="42"/>
      <c r="S829" s="1"/>
      <c r="T829" s="37"/>
      <c r="U829" s="1"/>
      <c r="V829" s="48"/>
    </row>
    <row r="830">
      <c r="N830" s="31"/>
      <c r="O830" s="37"/>
      <c r="P830" s="37"/>
      <c r="Q830" s="37"/>
      <c r="R830" s="42"/>
      <c r="S830" s="37"/>
      <c r="T830" s="37"/>
      <c r="U830" s="1"/>
      <c r="V830" s="29"/>
    </row>
    <row r="831">
      <c r="N831" s="31"/>
      <c r="O831" s="37"/>
      <c r="P831" s="37"/>
      <c r="Q831" s="37"/>
      <c r="R831" s="42"/>
      <c r="S831" s="37"/>
      <c r="T831" s="37"/>
      <c r="U831" s="1"/>
      <c r="V831" s="29"/>
    </row>
    <row r="832">
      <c r="N832" s="31"/>
      <c r="O832" s="37"/>
      <c r="P832" s="37"/>
      <c r="Q832" s="37"/>
      <c r="R832" s="42"/>
      <c r="S832" s="37"/>
      <c r="T832" s="37"/>
      <c r="U832" s="37"/>
      <c r="V832" s="29"/>
    </row>
    <row r="833">
      <c r="N833" s="31"/>
      <c r="O833" s="37"/>
      <c r="P833" s="37"/>
      <c r="Q833" s="37"/>
      <c r="R833" s="42"/>
      <c r="S833" s="37"/>
      <c r="T833" s="37"/>
      <c r="U833" s="1"/>
      <c r="V833" s="29"/>
    </row>
    <row r="834">
      <c r="N834" s="31"/>
      <c r="O834" s="37"/>
      <c r="P834" s="37"/>
      <c r="Q834" s="37"/>
      <c r="R834" s="42"/>
      <c r="S834" s="37"/>
      <c r="T834" s="37"/>
      <c r="U834" s="1"/>
      <c r="V834" s="29"/>
    </row>
    <row r="835">
      <c r="N835" s="31"/>
      <c r="O835" s="37"/>
      <c r="P835" s="37"/>
      <c r="Q835" s="37"/>
      <c r="R835" s="42"/>
      <c r="S835" s="37"/>
      <c r="T835" s="37"/>
      <c r="U835" s="25"/>
      <c r="V835" s="29"/>
    </row>
    <row r="836">
      <c r="N836" s="31"/>
      <c r="O836" s="37"/>
      <c r="P836" s="37"/>
      <c r="Q836" s="37"/>
      <c r="R836" s="42"/>
      <c r="S836" s="37"/>
      <c r="T836" s="37"/>
      <c r="U836" s="1"/>
      <c r="V836" s="29"/>
    </row>
    <row r="837">
      <c r="N837" s="31"/>
      <c r="O837" s="37"/>
      <c r="P837" s="37"/>
      <c r="Q837" s="37"/>
      <c r="R837" s="42"/>
      <c r="S837" s="37"/>
      <c r="T837" s="37"/>
      <c r="U837" s="1"/>
      <c r="V837" s="29"/>
    </row>
    <row r="838">
      <c r="N838" s="31"/>
      <c r="O838" s="37"/>
      <c r="P838" s="37"/>
      <c r="Q838" s="37"/>
      <c r="R838" s="42"/>
      <c r="S838" s="37"/>
      <c r="T838" s="37"/>
      <c r="U838" s="1"/>
      <c r="V838" s="29"/>
    </row>
    <row r="839">
      <c r="N839" s="31"/>
      <c r="O839" s="37"/>
      <c r="P839" s="37"/>
      <c r="Q839" s="37"/>
      <c r="R839" s="42"/>
      <c r="S839" s="37"/>
      <c r="T839" s="37"/>
      <c r="U839" s="1"/>
      <c r="V839" s="29"/>
    </row>
    <row r="840">
      <c r="N840" s="31"/>
      <c r="O840" s="37"/>
      <c r="P840" s="37"/>
      <c r="Q840" s="37"/>
      <c r="R840" s="42"/>
      <c r="S840" s="37"/>
      <c r="T840" s="37"/>
      <c r="U840" s="37"/>
      <c r="V840" s="29"/>
    </row>
    <row r="841">
      <c r="N841" s="3"/>
      <c r="O841" s="164"/>
      <c r="P841" s="164"/>
      <c r="Q841" s="164"/>
      <c r="R841" s="164"/>
      <c r="S841" s="164"/>
      <c r="T841" s="164"/>
      <c r="U841" s="1"/>
      <c r="V841" s="8"/>
    </row>
    <row r="842">
      <c r="N842" s="14"/>
      <c r="O842" s="14"/>
      <c r="P842" s="14"/>
      <c r="Q842" s="14"/>
      <c r="R842" s="18"/>
      <c r="S842" s="160"/>
      <c r="T842" s="160"/>
      <c r="U842" s="1"/>
      <c r="V842" s="15"/>
    </row>
    <row r="843">
      <c r="N843" s="15"/>
      <c r="O843" s="15"/>
      <c r="P843" s="15"/>
      <c r="Q843" s="15"/>
      <c r="R843" s="25"/>
      <c r="S843" s="25"/>
      <c r="T843" s="25"/>
      <c r="U843" s="25"/>
      <c r="V843" s="29"/>
    </row>
    <row r="844">
      <c r="N844" s="31"/>
      <c r="O844" s="32"/>
      <c r="P844" s="34"/>
      <c r="Q844" s="1"/>
      <c r="R844" s="42"/>
      <c r="S844" s="1"/>
      <c r="T844" s="37"/>
      <c r="U844" s="1"/>
      <c r="V844" s="48"/>
    </row>
    <row r="845">
      <c r="N845" s="31"/>
      <c r="O845" s="1"/>
      <c r="P845" s="37"/>
      <c r="Q845" s="1"/>
      <c r="R845" s="42"/>
      <c r="S845" s="1"/>
      <c r="T845" s="37"/>
      <c r="U845" s="1"/>
      <c r="V845" s="48"/>
    </row>
    <row r="846">
      <c r="N846" s="31"/>
      <c r="O846" s="1"/>
      <c r="P846" s="37"/>
      <c r="Q846" s="1"/>
      <c r="R846" s="42"/>
      <c r="S846" s="1"/>
      <c r="T846" s="37"/>
      <c r="U846" s="1"/>
      <c r="V846" s="29"/>
    </row>
    <row r="847">
      <c r="N847" s="31"/>
      <c r="O847" s="1"/>
      <c r="P847" s="37"/>
      <c r="Q847" s="1"/>
      <c r="R847" s="42"/>
      <c r="S847" s="1"/>
      <c r="T847" s="37"/>
      <c r="U847" s="1"/>
      <c r="V847" s="48"/>
    </row>
    <row r="848">
      <c r="N848" s="31"/>
      <c r="O848" s="1"/>
      <c r="P848" s="37"/>
      <c r="Q848" s="1"/>
      <c r="R848" s="42"/>
      <c r="S848" s="1"/>
      <c r="T848" s="37"/>
      <c r="U848" s="37"/>
      <c r="V848" s="48"/>
    </row>
    <row r="849">
      <c r="N849" s="31"/>
      <c r="O849" s="1"/>
      <c r="P849" s="37"/>
      <c r="Q849" s="1"/>
      <c r="R849" s="42"/>
      <c r="S849" s="1"/>
      <c r="T849" s="37"/>
      <c r="U849" s="1"/>
      <c r="V849" s="48"/>
    </row>
    <row r="850">
      <c r="N850" s="31"/>
      <c r="O850" s="37"/>
      <c r="P850" s="37"/>
      <c r="Q850" s="37"/>
      <c r="R850" s="42"/>
      <c r="S850" s="37"/>
      <c r="T850" s="37"/>
      <c r="U850" s="1"/>
      <c r="V850" s="29"/>
    </row>
    <row r="851">
      <c r="N851" s="31"/>
      <c r="O851" s="37"/>
      <c r="P851" s="37"/>
      <c r="Q851" s="37"/>
      <c r="R851" s="42"/>
      <c r="S851" s="37"/>
      <c r="T851" s="37"/>
      <c r="U851" s="25"/>
      <c r="V851" s="29"/>
    </row>
    <row r="852">
      <c r="N852" s="31"/>
      <c r="O852" s="37"/>
      <c r="P852" s="37"/>
      <c r="Q852" s="37"/>
      <c r="R852" s="42"/>
      <c r="S852" s="37"/>
      <c r="T852" s="37"/>
      <c r="U852" s="1"/>
      <c r="V852" s="29"/>
    </row>
    <row r="853">
      <c r="N853" s="31"/>
      <c r="O853" s="37"/>
      <c r="P853" s="37"/>
      <c r="Q853" s="37"/>
      <c r="R853" s="42"/>
      <c r="S853" s="37"/>
      <c r="T853" s="37"/>
      <c r="U853" s="1"/>
      <c r="V853" s="29"/>
    </row>
    <row r="854">
      <c r="N854" s="31"/>
      <c r="O854" s="37"/>
      <c r="P854" s="37"/>
      <c r="Q854" s="37"/>
      <c r="R854" s="42"/>
      <c r="S854" s="37"/>
      <c r="T854" s="37"/>
      <c r="U854" s="1"/>
      <c r="V854" s="29"/>
    </row>
    <row r="855">
      <c r="N855" s="31"/>
      <c r="O855" s="37"/>
      <c r="P855" s="37"/>
      <c r="Q855" s="37"/>
      <c r="R855" s="42"/>
      <c r="S855" s="37"/>
      <c r="T855" s="37"/>
      <c r="U855" s="1"/>
      <c r="V855" s="29"/>
    </row>
    <row r="856">
      <c r="N856" s="31"/>
      <c r="O856" s="37"/>
      <c r="P856" s="37"/>
      <c r="Q856" s="37"/>
      <c r="R856" s="42"/>
      <c r="S856" s="37"/>
      <c r="T856" s="37"/>
      <c r="U856" s="37"/>
      <c r="V856" s="29"/>
    </row>
    <row r="857">
      <c r="N857" s="31"/>
      <c r="O857" s="37"/>
      <c r="P857" s="37"/>
      <c r="Q857" s="37"/>
      <c r="R857" s="42"/>
      <c r="S857" s="37"/>
      <c r="T857" s="37"/>
      <c r="U857" s="1"/>
      <c r="V857" s="29"/>
    </row>
    <row r="858">
      <c r="N858" s="31"/>
      <c r="O858" s="37"/>
      <c r="P858" s="37"/>
      <c r="Q858" s="37"/>
      <c r="R858" s="42"/>
      <c r="S858" s="37"/>
      <c r="T858" s="37"/>
      <c r="U858" s="1"/>
      <c r="V858" s="29"/>
    </row>
    <row r="859">
      <c r="N859" s="31"/>
      <c r="O859" s="37"/>
      <c r="P859" s="37"/>
      <c r="Q859" s="37"/>
      <c r="R859" s="42"/>
      <c r="S859" s="37"/>
      <c r="T859" s="37"/>
      <c r="U859" s="25"/>
      <c r="V859" s="29"/>
    </row>
    <row r="860">
      <c r="N860" s="31"/>
      <c r="O860" s="37"/>
      <c r="P860" s="37"/>
      <c r="Q860" s="37"/>
      <c r="R860" s="42"/>
      <c r="S860" s="37"/>
      <c r="T860" s="37"/>
      <c r="U860" s="1"/>
      <c r="V860" s="29"/>
    </row>
    <row r="861">
      <c r="N861" s="3"/>
      <c r="O861" s="164"/>
      <c r="P861" s="164"/>
      <c r="Q861" s="164"/>
      <c r="R861" s="164"/>
      <c r="S861" s="164"/>
      <c r="T861" s="164"/>
      <c r="U861" s="1"/>
      <c r="V861" s="8"/>
    </row>
    <row r="862">
      <c r="N862" s="14"/>
      <c r="O862" s="14"/>
      <c r="P862" s="14"/>
      <c r="Q862" s="14"/>
      <c r="R862" s="18"/>
      <c r="S862" s="160"/>
      <c r="T862" s="160"/>
      <c r="U862" s="1"/>
      <c r="V862" s="15"/>
    </row>
    <row r="863">
      <c r="N863" s="15"/>
      <c r="O863" s="15"/>
      <c r="P863" s="15"/>
      <c r="Q863" s="15"/>
      <c r="R863" s="25"/>
      <c r="S863" s="25"/>
      <c r="T863" s="25"/>
      <c r="U863" s="1"/>
      <c r="V863" s="29"/>
    </row>
    <row r="864">
      <c r="N864" s="31"/>
      <c r="O864" s="32"/>
      <c r="P864" s="34"/>
      <c r="Q864" s="1"/>
      <c r="R864" s="42"/>
      <c r="S864" s="1"/>
      <c r="T864" s="37"/>
      <c r="U864" s="37"/>
      <c r="V864" s="48"/>
    </row>
    <row r="865">
      <c r="N865" s="31"/>
      <c r="O865" s="1"/>
      <c r="P865" s="37"/>
      <c r="Q865" s="1"/>
      <c r="R865" s="42"/>
      <c r="S865" s="1"/>
      <c r="T865" s="37"/>
      <c r="U865" s="1"/>
      <c r="V865" s="48"/>
    </row>
    <row r="866">
      <c r="N866" s="31"/>
      <c r="O866" s="1"/>
      <c r="P866" s="37"/>
      <c r="Q866" s="1"/>
      <c r="R866" s="42"/>
      <c r="S866" s="1"/>
      <c r="T866" s="37"/>
      <c r="U866" s="1"/>
      <c r="V866" s="29"/>
    </row>
    <row r="867">
      <c r="N867" s="31"/>
      <c r="O867" s="1"/>
      <c r="P867" s="37"/>
      <c r="Q867" s="1"/>
      <c r="R867" s="42"/>
      <c r="S867" s="1"/>
      <c r="T867" s="37"/>
      <c r="U867" s="25"/>
      <c r="V867" s="48"/>
    </row>
    <row r="868">
      <c r="N868" s="31"/>
      <c r="O868" s="1"/>
      <c r="P868" s="37"/>
      <c r="Q868" s="1"/>
      <c r="R868" s="42"/>
      <c r="S868" s="1"/>
      <c r="T868" s="37"/>
      <c r="U868" s="1"/>
      <c r="V868" s="48"/>
    </row>
    <row r="869">
      <c r="N869" s="31"/>
      <c r="O869" s="1"/>
      <c r="P869" s="37"/>
      <c r="Q869" s="1"/>
      <c r="R869" s="42"/>
      <c r="S869" s="1"/>
      <c r="T869" s="37"/>
      <c r="U869" s="1"/>
      <c r="V869" s="48"/>
    </row>
    <row r="870">
      <c r="N870" s="31"/>
      <c r="O870" s="37"/>
      <c r="P870" s="37"/>
      <c r="Q870" s="37"/>
      <c r="R870" s="42"/>
      <c r="S870" s="37"/>
      <c r="T870" s="37"/>
      <c r="U870" s="1"/>
      <c r="V870" s="29"/>
    </row>
    <row r="871">
      <c r="N871" s="31"/>
      <c r="O871" s="37"/>
      <c r="P871" s="37"/>
      <c r="Q871" s="37"/>
      <c r="R871" s="42"/>
      <c r="S871" s="37"/>
      <c r="T871" s="37"/>
      <c r="U871" s="1"/>
      <c r="V871" s="29"/>
    </row>
    <row r="872">
      <c r="N872" s="31"/>
      <c r="O872" s="37"/>
      <c r="P872" s="37"/>
      <c r="Q872" s="37"/>
      <c r="R872" s="42"/>
      <c r="S872" s="37"/>
      <c r="T872" s="37"/>
      <c r="U872" s="37"/>
      <c r="V872" s="29"/>
    </row>
    <row r="873">
      <c r="N873" s="31"/>
      <c r="O873" s="37"/>
      <c r="P873" s="37"/>
      <c r="Q873" s="37"/>
      <c r="R873" s="42"/>
      <c r="S873" s="37"/>
      <c r="T873" s="37"/>
      <c r="U873" s="1"/>
      <c r="V873" s="29"/>
    </row>
    <row r="874">
      <c r="N874" s="31"/>
      <c r="O874" s="37"/>
      <c r="P874" s="37"/>
      <c r="Q874" s="37"/>
      <c r="R874" s="42"/>
      <c r="S874" s="37"/>
      <c r="T874" s="37"/>
      <c r="U874" s="1"/>
      <c r="V874" s="29"/>
    </row>
    <row r="875">
      <c r="N875" s="31"/>
      <c r="O875" s="37"/>
      <c r="P875" s="37"/>
      <c r="Q875" s="37"/>
      <c r="R875" s="42"/>
      <c r="S875" s="37"/>
      <c r="T875" s="37"/>
      <c r="U875" s="25"/>
      <c r="V875" s="29"/>
    </row>
    <row r="876">
      <c r="N876" s="31"/>
      <c r="O876" s="37"/>
      <c r="P876" s="37"/>
      <c r="Q876" s="37"/>
      <c r="R876" s="42"/>
      <c r="S876" s="37"/>
      <c r="T876" s="37"/>
      <c r="U876" s="1"/>
      <c r="V876" s="29"/>
    </row>
    <row r="877">
      <c r="N877" s="31"/>
      <c r="O877" s="37"/>
      <c r="P877" s="37"/>
      <c r="Q877" s="37"/>
      <c r="R877" s="42"/>
      <c r="S877" s="37"/>
      <c r="T877" s="37"/>
      <c r="U877" s="1"/>
      <c r="V877" s="29"/>
    </row>
    <row r="878">
      <c r="N878" s="31"/>
      <c r="O878" s="37"/>
      <c r="P878" s="37"/>
      <c r="Q878" s="37"/>
      <c r="R878" s="42"/>
      <c r="S878" s="37"/>
      <c r="T878" s="37"/>
      <c r="U878" s="1"/>
      <c r="V878" s="29"/>
    </row>
    <row r="879">
      <c r="N879" s="31"/>
      <c r="O879" s="37"/>
      <c r="P879" s="37"/>
      <c r="Q879" s="37"/>
      <c r="R879" s="42"/>
      <c r="S879" s="37"/>
      <c r="T879" s="37"/>
      <c r="U879" s="1"/>
      <c r="V879" s="29"/>
    </row>
    <row r="880">
      <c r="N880" s="31"/>
      <c r="O880" s="37"/>
      <c r="P880" s="37"/>
      <c r="Q880" s="37"/>
      <c r="R880" s="42"/>
      <c r="S880" s="37"/>
      <c r="T880" s="37"/>
      <c r="U880" s="37"/>
      <c r="V880" s="29"/>
    </row>
    <row r="881">
      <c r="N881" s="3"/>
      <c r="O881" s="164"/>
      <c r="P881" s="164"/>
      <c r="Q881" s="164"/>
      <c r="R881" s="164"/>
      <c r="S881" s="164"/>
      <c r="T881" s="164"/>
      <c r="U881" s="1"/>
      <c r="V881" s="8"/>
    </row>
    <row r="882">
      <c r="N882" s="14"/>
      <c r="O882" s="14"/>
      <c r="P882" s="14"/>
      <c r="Q882" s="14"/>
      <c r="R882" s="18"/>
      <c r="S882" s="160"/>
      <c r="T882" s="160"/>
      <c r="U882" s="1"/>
      <c r="V882" s="15"/>
    </row>
    <row r="883">
      <c r="N883" s="15"/>
      <c r="O883" s="15"/>
      <c r="P883" s="15"/>
      <c r="Q883" s="15"/>
      <c r="R883" s="25"/>
      <c r="S883" s="25"/>
      <c r="T883" s="25"/>
      <c r="U883" s="25"/>
      <c r="V883" s="29"/>
    </row>
    <row r="884">
      <c r="N884" s="31"/>
      <c r="O884" s="32"/>
      <c r="P884" s="34"/>
      <c r="Q884" s="1"/>
      <c r="R884" s="42"/>
      <c r="S884" s="1"/>
      <c r="T884" s="37"/>
      <c r="U884" s="1"/>
      <c r="V884" s="48"/>
    </row>
    <row r="885">
      <c r="N885" s="31"/>
      <c r="O885" s="1"/>
      <c r="P885" s="37"/>
      <c r="Q885" s="1"/>
      <c r="R885" s="42"/>
      <c r="S885" s="1"/>
      <c r="T885" s="37"/>
      <c r="U885" s="1"/>
      <c r="V885" s="48"/>
    </row>
    <row r="886">
      <c r="N886" s="31"/>
      <c r="O886" s="1"/>
      <c r="P886" s="37"/>
      <c r="Q886" s="1"/>
      <c r="R886" s="42"/>
      <c r="S886" s="1"/>
      <c r="T886" s="37"/>
      <c r="U886" s="1"/>
      <c r="V886" s="29"/>
    </row>
    <row r="887">
      <c r="N887" s="31"/>
      <c r="O887" s="1"/>
      <c r="P887" s="37"/>
      <c r="Q887" s="1"/>
      <c r="R887" s="42"/>
      <c r="S887" s="1"/>
      <c r="T887" s="37"/>
      <c r="U887" s="1"/>
      <c r="V887" s="48"/>
    </row>
    <row r="888">
      <c r="N888" s="31"/>
      <c r="O888" s="1"/>
      <c r="P888" s="37"/>
      <c r="Q888" s="1"/>
      <c r="R888" s="42"/>
      <c r="S888" s="1"/>
      <c r="T888" s="37"/>
      <c r="U888" s="37"/>
      <c r="V888" s="48"/>
    </row>
    <row r="889">
      <c r="N889" s="31"/>
      <c r="O889" s="1"/>
      <c r="P889" s="37"/>
      <c r="Q889" s="1"/>
      <c r="R889" s="42"/>
      <c r="S889" s="1"/>
      <c r="T889" s="37"/>
      <c r="U889" s="1"/>
      <c r="V889" s="48"/>
    </row>
    <row r="890">
      <c r="N890" s="31"/>
      <c r="O890" s="37"/>
      <c r="P890" s="37"/>
      <c r="Q890" s="37"/>
      <c r="R890" s="42"/>
      <c r="S890" s="37"/>
      <c r="T890" s="37"/>
      <c r="U890" s="1"/>
      <c r="V890" s="29"/>
    </row>
    <row r="891">
      <c r="N891" s="31"/>
      <c r="O891" s="37"/>
      <c r="P891" s="37"/>
      <c r="Q891" s="37"/>
      <c r="R891" s="42"/>
      <c r="S891" s="37"/>
      <c r="T891" s="37"/>
      <c r="U891" s="25"/>
      <c r="V891" s="29"/>
    </row>
    <row r="892">
      <c r="N892" s="31"/>
      <c r="O892" s="37"/>
      <c r="P892" s="37"/>
      <c r="Q892" s="37"/>
      <c r="R892" s="42"/>
      <c r="S892" s="37"/>
      <c r="T892" s="37"/>
      <c r="U892" s="1"/>
      <c r="V892" s="29"/>
    </row>
    <row r="893">
      <c r="N893" s="31"/>
      <c r="O893" s="37"/>
      <c r="P893" s="37"/>
      <c r="Q893" s="37"/>
      <c r="R893" s="42"/>
      <c r="S893" s="37"/>
      <c r="T893" s="37"/>
      <c r="U893" s="1"/>
      <c r="V893" s="29"/>
    </row>
    <row r="894">
      <c r="N894" s="31"/>
      <c r="O894" s="37"/>
      <c r="P894" s="37"/>
      <c r="Q894" s="37"/>
      <c r="R894" s="42"/>
      <c r="S894" s="37"/>
      <c r="T894" s="37"/>
      <c r="U894" s="1"/>
      <c r="V894" s="29"/>
    </row>
    <row r="895">
      <c r="N895" s="31"/>
      <c r="O895" s="37"/>
      <c r="P895" s="37"/>
      <c r="Q895" s="37"/>
      <c r="R895" s="42"/>
      <c r="S895" s="37"/>
      <c r="T895" s="37"/>
      <c r="U895" s="1"/>
      <c r="V895" s="29"/>
    </row>
    <row r="896">
      <c r="N896" s="31"/>
      <c r="O896" s="37"/>
      <c r="P896" s="37"/>
      <c r="Q896" s="37"/>
      <c r="R896" s="42"/>
      <c r="S896" s="37"/>
      <c r="T896" s="37"/>
      <c r="U896" s="37"/>
      <c r="V896" s="29"/>
    </row>
    <row r="897">
      <c r="N897" s="31"/>
      <c r="O897" s="37"/>
      <c r="P897" s="37"/>
      <c r="Q897" s="37"/>
      <c r="R897" s="42"/>
      <c r="S897" s="37"/>
      <c r="T897" s="37"/>
      <c r="U897" s="1"/>
      <c r="V897" s="29"/>
    </row>
    <row r="898">
      <c r="N898" s="31"/>
      <c r="O898" s="37"/>
      <c r="P898" s="37"/>
      <c r="Q898" s="37"/>
      <c r="R898" s="42"/>
      <c r="S898" s="37"/>
      <c r="T898" s="37"/>
      <c r="U898" s="1"/>
      <c r="V898" s="29"/>
    </row>
    <row r="899">
      <c r="N899" s="31"/>
      <c r="O899" s="37"/>
      <c r="P899" s="37"/>
      <c r="Q899" s="37"/>
      <c r="R899" s="42"/>
      <c r="S899" s="37"/>
      <c r="T899" s="37"/>
      <c r="U899" s="25"/>
      <c r="V899" s="29"/>
    </row>
    <row r="900">
      <c r="N900" s="31"/>
      <c r="O900" s="37"/>
      <c r="P900" s="37"/>
      <c r="Q900" s="37"/>
      <c r="R900" s="42"/>
      <c r="S900" s="37"/>
      <c r="T900" s="37"/>
      <c r="U900" s="1"/>
      <c r="V900" s="29"/>
    </row>
    <row r="901">
      <c r="N901" s="87"/>
      <c r="U901" s="1"/>
      <c r="V901" s="130"/>
    </row>
    <row r="902">
      <c r="N902" s="87"/>
      <c r="U902" s="1"/>
      <c r="V902" s="130"/>
    </row>
    <row r="903">
      <c r="N903" s="87"/>
      <c r="U903" s="1"/>
      <c r="V903" s="130"/>
    </row>
    <row r="904">
      <c r="N904" s="87"/>
      <c r="U904" s="37"/>
      <c r="V904" s="130"/>
    </row>
    <row r="905">
      <c r="N905" s="87"/>
      <c r="U905" s="1"/>
      <c r="V905" s="130"/>
    </row>
    <row r="906">
      <c r="N906" s="87"/>
      <c r="U906" s="1"/>
      <c r="V906" s="130"/>
    </row>
    <row r="907">
      <c r="N907" s="87"/>
      <c r="U907" s="25"/>
      <c r="V907" s="130"/>
    </row>
    <row r="908">
      <c r="N908" s="87"/>
      <c r="U908" s="1"/>
      <c r="V908" s="130"/>
    </row>
    <row r="909">
      <c r="N909" s="87"/>
      <c r="U909" s="1"/>
      <c r="V909" s="130"/>
    </row>
    <row r="910">
      <c r="N910" s="87"/>
      <c r="U910" s="1"/>
      <c r="V910" s="130"/>
    </row>
    <row r="911">
      <c r="N911" s="87"/>
      <c r="U911" s="1"/>
      <c r="V911" s="130"/>
    </row>
    <row r="912">
      <c r="N912" s="87"/>
      <c r="U912" s="37"/>
      <c r="V912" s="130"/>
    </row>
    <row r="913">
      <c r="N913" s="87"/>
      <c r="U913" s="1"/>
      <c r="V913" s="130"/>
    </row>
    <row r="914">
      <c r="N914" s="87"/>
      <c r="U914" s="1"/>
      <c r="V914" s="130"/>
    </row>
    <row r="915">
      <c r="N915" s="87"/>
      <c r="U915" s="25"/>
      <c r="V915" s="130"/>
    </row>
  </sheetData>
  <mergeCells count="232">
    <mergeCell ref="N282:N283"/>
    <mergeCell ref="N302:N303"/>
    <mergeCell ref="N322:N323"/>
    <mergeCell ref="N342:N343"/>
    <mergeCell ref="O362:O363"/>
    <mergeCell ref="P362:P363"/>
    <mergeCell ref="Q362:Q363"/>
    <mergeCell ref="N362:N363"/>
    <mergeCell ref="N382:N383"/>
    <mergeCell ref="O382:O383"/>
    <mergeCell ref="P382:P383"/>
    <mergeCell ref="Q382:Q383"/>
    <mergeCell ref="N402:N403"/>
    <mergeCell ref="O402:O403"/>
    <mergeCell ref="N602:N603"/>
    <mergeCell ref="O602:O603"/>
    <mergeCell ref="P602:P603"/>
    <mergeCell ref="Q602:Q603"/>
    <mergeCell ref="V621:V622"/>
    <mergeCell ref="N622:N623"/>
    <mergeCell ref="O622:O623"/>
    <mergeCell ref="P622:P623"/>
    <mergeCell ref="Q622:Q623"/>
    <mergeCell ref="V641:V642"/>
    <mergeCell ref="O642:O643"/>
    <mergeCell ref="P642:P643"/>
    <mergeCell ref="Q642:Q643"/>
    <mergeCell ref="V661:V662"/>
    <mergeCell ref="N642:N643"/>
    <mergeCell ref="N662:N663"/>
    <mergeCell ref="O662:O663"/>
    <mergeCell ref="P662:P663"/>
    <mergeCell ref="Q662:Q663"/>
    <mergeCell ref="V681:V682"/>
    <mergeCell ref="N682:N683"/>
    <mergeCell ref="Q682:Q683"/>
    <mergeCell ref="O682:O683"/>
    <mergeCell ref="P682:P683"/>
    <mergeCell ref="V701:V702"/>
    <mergeCell ref="O702:O703"/>
    <mergeCell ref="P702:P703"/>
    <mergeCell ref="Q702:Q703"/>
    <mergeCell ref="V721:V722"/>
    <mergeCell ref="N702:N703"/>
    <mergeCell ref="N722:N723"/>
    <mergeCell ref="O722:O723"/>
    <mergeCell ref="P722:P723"/>
    <mergeCell ref="Q722:Q723"/>
    <mergeCell ref="V741:V742"/>
    <mergeCell ref="N742:N743"/>
    <mergeCell ref="Q742:Q743"/>
    <mergeCell ref="O742:O743"/>
    <mergeCell ref="P742:P743"/>
    <mergeCell ref="V761:V762"/>
    <mergeCell ref="O762:O763"/>
    <mergeCell ref="P762:P763"/>
    <mergeCell ref="Q762:Q763"/>
    <mergeCell ref="V781:V782"/>
    <mergeCell ref="N762:N763"/>
    <mergeCell ref="N782:N783"/>
    <mergeCell ref="O782:O783"/>
    <mergeCell ref="P782:P783"/>
    <mergeCell ref="Q782:Q783"/>
    <mergeCell ref="V801:V802"/>
    <mergeCell ref="N802:N803"/>
    <mergeCell ref="Q802:Q803"/>
    <mergeCell ref="O802:O803"/>
    <mergeCell ref="P802:P803"/>
    <mergeCell ref="V821:V822"/>
    <mergeCell ref="O822:O823"/>
    <mergeCell ref="P822:P823"/>
    <mergeCell ref="Q822:Q823"/>
    <mergeCell ref="V841:V842"/>
    <mergeCell ref="O222:O223"/>
    <mergeCell ref="P222:P223"/>
    <mergeCell ref="N242:N243"/>
    <mergeCell ref="O242:O243"/>
    <mergeCell ref="P242:P243"/>
    <mergeCell ref="Q242:Q243"/>
    <mergeCell ref="N262:N263"/>
    <mergeCell ref="Q262:Q263"/>
    <mergeCell ref="O302:O303"/>
    <mergeCell ref="P302:P303"/>
    <mergeCell ref="Q302:Q303"/>
    <mergeCell ref="O262:O263"/>
    <mergeCell ref="P262:P263"/>
    <mergeCell ref="V281:V282"/>
    <mergeCell ref="O282:O283"/>
    <mergeCell ref="P282:P283"/>
    <mergeCell ref="Q282:Q283"/>
    <mergeCell ref="V301:V302"/>
    <mergeCell ref="V321:V322"/>
    <mergeCell ref="O322:O323"/>
    <mergeCell ref="P322:P323"/>
    <mergeCell ref="Q322:Q323"/>
    <mergeCell ref="O342:O343"/>
    <mergeCell ref="P342:P343"/>
    <mergeCell ref="Q342:Q343"/>
    <mergeCell ref="P402:P403"/>
    <mergeCell ref="Q402:Q403"/>
    <mergeCell ref="V481:V482"/>
    <mergeCell ref="V501:V502"/>
    <mergeCell ref="V521:V522"/>
    <mergeCell ref="V541:V542"/>
    <mergeCell ref="O542:O543"/>
    <mergeCell ref="P542:P543"/>
    <mergeCell ref="Q542:Q543"/>
    <mergeCell ref="O862:O863"/>
    <mergeCell ref="P862:P863"/>
    <mergeCell ref="V881:V882"/>
    <mergeCell ref="N882:N883"/>
    <mergeCell ref="O882:O883"/>
    <mergeCell ref="P882:P883"/>
    <mergeCell ref="Q882:Q883"/>
    <mergeCell ref="N822:N823"/>
    <mergeCell ref="N842:N843"/>
    <mergeCell ref="O842:O843"/>
    <mergeCell ref="P842:P843"/>
    <mergeCell ref="Q842:Q843"/>
    <mergeCell ref="V861:V862"/>
    <mergeCell ref="N862:N863"/>
    <mergeCell ref="Q862:Q863"/>
    <mergeCell ref="N22:N23"/>
    <mergeCell ref="N42:N43"/>
    <mergeCell ref="N62:N63"/>
    <mergeCell ref="N82:N83"/>
    <mergeCell ref="O102:O103"/>
    <mergeCell ref="P102:P103"/>
    <mergeCell ref="Q102:Q103"/>
    <mergeCell ref="N102:N103"/>
    <mergeCell ref="N122:N123"/>
    <mergeCell ref="O122:O123"/>
    <mergeCell ref="P122:P123"/>
    <mergeCell ref="Q122:Q123"/>
    <mergeCell ref="N142:N143"/>
    <mergeCell ref="O142:O143"/>
    <mergeCell ref="P142:P143"/>
    <mergeCell ref="Q142:Q143"/>
    <mergeCell ref="N162:N163"/>
    <mergeCell ref="O162:O163"/>
    <mergeCell ref="P162:P163"/>
    <mergeCell ref="Q162:Q163"/>
    <mergeCell ref="N182:N183"/>
    <mergeCell ref="Q182:Q183"/>
    <mergeCell ref="O182:O183"/>
    <mergeCell ref="P182:P183"/>
    <mergeCell ref="N202:N203"/>
    <mergeCell ref="O202:O203"/>
    <mergeCell ref="P202:P203"/>
    <mergeCell ref="Q202:Q203"/>
    <mergeCell ref="N222:N223"/>
    <mergeCell ref="Q222:Q223"/>
    <mergeCell ref="E2:H2"/>
    <mergeCell ref="N2:N3"/>
    <mergeCell ref="A1:H1"/>
    <mergeCell ref="I1:I2"/>
    <mergeCell ref="V1:V2"/>
    <mergeCell ref="A2:A3"/>
    <mergeCell ref="B2:B3"/>
    <mergeCell ref="C2:C3"/>
    <mergeCell ref="D2:D3"/>
    <mergeCell ref="Q2:Q3"/>
    <mergeCell ref="O42:O43"/>
    <mergeCell ref="P42:P43"/>
    <mergeCell ref="Q42:Q43"/>
    <mergeCell ref="O2:O3"/>
    <mergeCell ref="P2:P3"/>
    <mergeCell ref="V21:V22"/>
    <mergeCell ref="O22:O23"/>
    <mergeCell ref="P22:P23"/>
    <mergeCell ref="Q22:Q23"/>
    <mergeCell ref="V41:V42"/>
    <mergeCell ref="V61:V62"/>
    <mergeCell ref="O62:O63"/>
    <mergeCell ref="P62:P63"/>
    <mergeCell ref="Q62:Q63"/>
    <mergeCell ref="O82:O83"/>
    <mergeCell ref="P82:P83"/>
    <mergeCell ref="Q82:Q83"/>
    <mergeCell ref="V221:V222"/>
    <mergeCell ref="V241:V242"/>
    <mergeCell ref="V261:V262"/>
    <mergeCell ref="V81:V82"/>
    <mergeCell ref="V101:V102"/>
    <mergeCell ref="V121:V122"/>
    <mergeCell ref="V141:V142"/>
    <mergeCell ref="V161:V162"/>
    <mergeCell ref="V181:V182"/>
    <mergeCell ref="V201:V202"/>
    <mergeCell ref="N422:N423"/>
    <mergeCell ref="O422:O423"/>
    <mergeCell ref="P422:P423"/>
    <mergeCell ref="Q422:Q423"/>
    <mergeCell ref="O442:O443"/>
    <mergeCell ref="P442:P443"/>
    <mergeCell ref="Q442:Q443"/>
    <mergeCell ref="N442:N443"/>
    <mergeCell ref="N462:N463"/>
    <mergeCell ref="O462:O463"/>
    <mergeCell ref="P462:P463"/>
    <mergeCell ref="Q462:Q463"/>
    <mergeCell ref="N482:N483"/>
    <mergeCell ref="O482:O483"/>
    <mergeCell ref="O522:O523"/>
    <mergeCell ref="P522:P523"/>
    <mergeCell ref="P482:P483"/>
    <mergeCell ref="Q482:Q483"/>
    <mergeCell ref="N502:N503"/>
    <mergeCell ref="O502:O503"/>
    <mergeCell ref="P502:P503"/>
    <mergeCell ref="Q502:Q503"/>
    <mergeCell ref="N522:N523"/>
    <mergeCell ref="Q522:Q523"/>
    <mergeCell ref="V561:V562"/>
    <mergeCell ref="V581:V582"/>
    <mergeCell ref="V601:V602"/>
    <mergeCell ref="V341:V342"/>
    <mergeCell ref="V361:V362"/>
    <mergeCell ref="V381:V382"/>
    <mergeCell ref="V401:V402"/>
    <mergeCell ref="V421:V422"/>
    <mergeCell ref="V441:V442"/>
    <mergeCell ref="V461:V462"/>
    <mergeCell ref="P582:P583"/>
    <mergeCell ref="Q582:Q583"/>
    <mergeCell ref="N542:N543"/>
    <mergeCell ref="N562:N563"/>
    <mergeCell ref="O562:O563"/>
    <mergeCell ref="P562:P563"/>
    <mergeCell ref="Q562:Q563"/>
    <mergeCell ref="N582:N583"/>
    <mergeCell ref="O582:O583"/>
  </mergeCells>
  <dataValidations>
    <dataValidation type="list" allowBlank="1" sqref="Q4:Q20 D4:D40 Q24:Q40 Q44:Q60 Q64:Q80 Q84:Q100 Q104:Q120 Q124:Q140 Q144:Q160 Q164:Q180 Q184:Q200 Q204:Q220 Q224:Q240 Q244:Q260 Q264:Q280 Q284:Q300 Q304:Q320 Q324:Q340 Q344:Q360 Q364:Q380 Q384:Q400 Q404:Q420 Q424:Q440 Q444:Q460 Q464:Q480 Q484:Q500 Q504:Q520 Q524:Q540 Q544:Q560 Q564:Q580 Q584:Q600 Q604:Q620 Q624:Q640 Q644:Q660 Q664:Q680 Q684:Q700 Q704:Q720 Q724:Q740 Q744:Q760 Q764:Q780 Q784:Q800 Q804:Q820 Q824:Q840 Q844:Q860 Q864:Q880 Q884:Q900">
      <formula1>Data!$A$2:$A$12</formula1>
    </dataValidation>
  </dataValidations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6.63"/>
    <col customWidth="1" min="4" max="4" width="10.5"/>
    <col customWidth="1" min="6" max="6" width="18.75"/>
    <col customWidth="1" min="7" max="7" width="17.63"/>
    <col customWidth="1" min="8" max="8" width="52.63"/>
  </cols>
  <sheetData>
    <row r="1">
      <c r="A1" s="3" t="s">
        <v>302</v>
      </c>
      <c r="B1" s="5"/>
      <c r="C1" s="5"/>
      <c r="D1" s="5"/>
      <c r="E1" s="5"/>
      <c r="F1" s="5"/>
      <c r="G1" s="5"/>
      <c r="H1" s="6"/>
      <c r="I1" s="8" t="s">
        <v>17</v>
      </c>
    </row>
    <row r="2">
      <c r="A2" s="18" t="s">
        <v>303</v>
      </c>
      <c r="B2" s="6"/>
      <c r="C2" s="18" t="s">
        <v>304</v>
      </c>
      <c r="D2" s="6"/>
      <c r="E2" s="18" t="s">
        <v>305</v>
      </c>
      <c r="F2" s="6"/>
      <c r="G2" s="18" t="s">
        <v>306</v>
      </c>
      <c r="H2" s="6"/>
      <c r="I2" s="138"/>
    </row>
    <row r="3">
      <c r="A3" s="14" t="s">
        <v>21</v>
      </c>
      <c r="B3" s="14" t="s">
        <v>22</v>
      </c>
      <c r="C3" s="14" t="s">
        <v>24</v>
      </c>
      <c r="D3" s="14" t="s">
        <v>0</v>
      </c>
      <c r="E3" s="18" t="s">
        <v>26</v>
      </c>
      <c r="F3" s="5"/>
      <c r="G3" s="5"/>
      <c r="H3" s="6"/>
      <c r="I3" s="15"/>
    </row>
    <row r="4">
      <c r="A4" s="15"/>
      <c r="B4" s="15"/>
      <c r="C4" s="15"/>
      <c r="D4" s="15"/>
      <c r="E4" s="25" t="s">
        <v>34</v>
      </c>
      <c r="F4" s="25" t="s">
        <v>35</v>
      </c>
      <c r="G4" s="25" t="s">
        <v>36</v>
      </c>
      <c r="H4" s="25" t="s">
        <v>37</v>
      </c>
      <c r="I4" s="29"/>
    </row>
    <row r="5">
      <c r="A5" s="31">
        <v>1.0</v>
      </c>
      <c r="B5" s="1" t="s">
        <v>307</v>
      </c>
      <c r="C5" s="1">
        <v>1.001998929E9</v>
      </c>
      <c r="D5" s="1" t="s">
        <v>15</v>
      </c>
      <c r="E5" s="42">
        <v>2650.0</v>
      </c>
      <c r="F5" s="1">
        <v>2400.0</v>
      </c>
      <c r="G5" s="46">
        <f t="shared" ref="G5:G41" si="1">E5-F5</f>
        <v>250</v>
      </c>
      <c r="H5" s="1" t="s">
        <v>308</v>
      </c>
      <c r="I5" s="29"/>
    </row>
    <row r="6">
      <c r="A6" s="31">
        <v>2.0</v>
      </c>
      <c r="B6" s="1" t="s">
        <v>309</v>
      </c>
      <c r="C6" s="1">
        <v>1.001688863E9</v>
      </c>
      <c r="D6" s="1" t="s">
        <v>15</v>
      </c>
      <c r="E6" s="42">
        <v>2650.0</v>
      </c>
      <c r="F6" s="1">
        <v>2200.0</v>
      </c>
      <c r="G6" s="46">
        <f t="shared" si="1"/>
        <v>450</v>
      </c>
      <c r="H6" s="1" t="s">
        <v>310</v>
      </c>
      <c r="I6" s="29"/>
    </row>
    <row r="7">
      <c r="A7" s="31">
        <v>3.0</v>
      </c>
      <c r="B7" s="1" t="s">
        <v>311</v>
      </c>
      <c r="C7" s="1">
        <v>1.223259536E9</v>
      </c>
      <c r="D7" s="1" t="s">
        <v>15</v>
      </c>
      <c r="E7" s="42">
        <v>2650.0</v>
      </c>
      <c r="F7" s="1">
        <v>2400.0</v>
      </c>
      <c r="G7" s="46">
        <f t="shared" si="1"/>
        <v>250</v>
      </c>
      <c r="H7" s="1" t="s">
        <v>312</v>
      </c>
      <c r="I7" s="29"/>
    </row>
    <row r="8">
      <c r="A8" s="31">
        <v>4.0</v>
      </c>
      <c r="B8" s="1" t="s">
        <v>313</v>
      </c>
      <c r="C8" s="1">
        <v>1.123060586E9</v>
      </c>
      <c r="D8" s="1" t="s">
        <v>15</v>
      </c>
      <c r="E8" s="42">
        <v>2650.0</v>
      </c>
      <c r="F8" s="1">
        <v>2300.0</v>
      </c>
      <c r="G8" s="46">
        <f t="shared" si="1"/>
        <v>350</v>
      </c>
      <c r="H8" s="1" t="s">
        <v>314</v>
      </c>
      <c r="I8" s="29"/>
    </row>
    <row r="9">
      <c r="A9" s="31">
        <v>5.0</v>
      </c>
      <c r="B9" s="1" t="s">
        <v>315</v>
      </c>
      <c r="C9" s="37"/>
      <c r="D9" s="1" t="s">
        <v>6</v>
      </c>
      <c r="E9" s="42">
        <v>2650.0</v>
      </c>
      <c r="F9" s="1">
        <v>2400.0</v>
      </c>
      <c r="G9" s="46">
        <f t="shared" si="1"/>
        <v>250</v>
      </c>
      <c r="H9" s="1" t="s">
        <v>316</v>
      </c>
      <c r="I9" s="29"/>
    </row>
    <row r="10">
      <c r="A10" s="31">
        <v>6.0</v>
      </c>
      <c r="B10" s="1" t="s">
        <v>317</v>
      </c>
      <c r="C10" s="1">
        <v>1.065622777E9</v>
      </c>
      <c r="D10" s="1" t="s">
        <v>13</v>
      </c>
      <c r="E10" s="42">
        <v>2650.0</v>
      </c>
      <c r="F10" s="1">
        <v>2650.0</v>
      </c>
      <c r="G10" s="46">
        <f t="shared" si="1"/>
        <v>0</v>
      </c>
      <c r="H10" s="1" t="s">
        <v>318</v>
      </c>
      <c r="I10" s="29"/>
    </row>
    <row r="11">
      <c r="A11" s="31">
        <v>7.0</v>
      </c>
      <c r="B11" s="1" t="s">
        <v>319</v>
      </c>
      <c r="C11" s="1">
        <v>1.143556545E9</v>
      </c>
      <c r="D11" s="1" t="s">
        <v>13</v>
      </c>
      <c r="E11" s="42">
        <v>2650.0</v>
      </c>
      <c r="F11" s="1">
        <v>2600.0</v>
      </c>
      <c r="G11" s="46">
        <f t="shared" si="1"/>
        <v>50</v>
      </c>
      <c r="H11" s="1" t="s">
        <v>320</v>
      </c>
      <c r="I11" s="29"/>
    </row>
    <row r="12">
      <c r="A12" s="31">
        <v>8.0</v>
      </c>
      <c r="B12" s="1" t="s">
        <v>321</v>
      </c>
      <c r="C12" s="1">
        <v>1.222339029E9</v>
      </c>
      <c r="D12" s="1" t="s">
        <v>13</v>
      </c>
      <c r="E12" s="42">
        <v>2650.0</v>
      </c>
      <c r="F12" s="1">
        <v>2300.0</v>
      </c>
      <c r="G12" s="46">
        <f t="shared" si="1"/>
        <v>350</v>
      </c>
      <c r="H12" s="1" t="s">
        <v>322</v>
      </c>
      <c r="I12" s="29"/>
    </row>
    <row r="13">
      <c r="A13" s="31">
        <v>9.0</v>
      </c>
      <c r="B13" s="1" t="s">
        <v>323</v>
      </c>
      <c r="C13" s="1">
        <v>1.000007225E9</v>
      </c>
      <c r="D13" s="1" t="s">
        <v>13</v>
      </c>
      <c r="E13" s="42">
        <v>2650.0</v>
      </c>
      <c r="F13" s="1">
        <v>2650.0</v>
      </c>
      <c r="G13" s="46">
        <f t="shared" si="1"/>
        <v>0</v>
      </c>
      <c r="H13" s="1" t="s">
        <v>324</v>
      </c>
      <c r="I13" s="29"/>
    </row>
    <row r="14">
      <c r="A14" s="31">
        <v>10.0</v>
      </c>
      <c r="B14" s="1"/>
      <c r="C14" s="37"/>
      <c r="D14" s="37"/>
      <c r="E14" s="42">
        <v>2650.0</v>
      </c>
      <c r="F14" s="37"/>
      <c r="G14" s="46">
        <f t="shared" si="1"/>
        <v>2650</v>
      </c>
      <c r="H14" s="37"/>
      <c r="I14" s="29"/>
    </row>
    <row r="15">
      <c r="A15" s="31">
        <v>11.0</v>
      </c>
      <c r="B15" s="37"/>
      <c r="C15" s="37"/>
      <c r="D15" s="37"/>
      <c r="E15" s="42">
        <v>2650.0</v>
      </c>
      <c r="F15" s="37"/>
      <c r="G15" s="46">
        <f t="shared" si="1"/>
        <v>2650</v>
      </c>
      <c r="H15" s="37"/>
      <c r="I15" s="29"/>
    </row>
    <row r="16">
      <c r="A16" s="31">
        <v>12.0</v>
      </c>
      <c r="B16" s="37"/>
      <c r="C16" s="37"/>
      <c r="D16" s="37"/>
      <c r="E16" s="42">
        <v>2650.0</v>
      </c>
      <c r="F16" s="37"/>
      <c r="G16" s="46">
        <f t="shared" si="1"/>
        <v>2650</v>
      </c>
      <c r="H16" s="37"/>
      <c r="I16" s="29"/>
    </row>
    <row r="17">
      <c r="A17" s="31">
        <v>13.0</v>
      </c>
      <c r="B17" s="37"/>
      <c r="C17" s="37"/>
      <c r="D17" s="37"/>
      <c r="E17" s="42">
        <v>2650.0</v>
      </c>
      <c r="F17" s="37"/>
      <c r="G17" s="46">
        <f t="shared" si="1"/>
        <v>2650</v>
      </c>
      <c r="H17" s="37"/>
      <c r="I17" s="29"/>
    </row>
    <row r="18">
      <c r="A18" s="31">
        <v>14.0</v>
      </c>
      <c r="B18" s="37"/>
      <c r="C18" s="37"/>
      <c r="D18" s="37"/>
      <c r="E18" s="42">
        <v>2650.0</v>
      </c>
      <c r="F18" s="37"/>
      <c r="G18" s="46">
        <f t="shared" si="1"/>
        <v>2650</v>
      </c>
      <c r="H18" s="37"/>
      <c r="I18" s="29"/>
    </row>
    <row r="19">
      <c r="A19" s="31">
        <v>15.0</v>
      </c>
      <c r="B19" s="37"/>
      <c r="C19" s="37"/>
      <c r="D19" s="37"/>
      <c r="E19" s="42">
        <v>2650.0</v>
      </c>
      <c r="F19" s="37"/>
      <c r="G19" s="46">
        <f t="shared" si="1"/>
        <v>2650</v>
      </c>
      <c r="H19" s="37"/>
      <c r="I19" s="29"/>
    </row>
    <row r="20">
      <c r="A20" s="31">
        <v>16.0</v>
      </c>
      <c r="B20" s="37"/>
      <c r="C20" s="37"/>
      <c r="D20" s="37"/>
      <c r="E20" s="42">
        <v>2650.0</v>
      </c>
      <c r="F20" s="37"/>
      <c r="G20" s="46">
        <f t="shared" si="1"/>
        <v>2650</v>
      </c>
      <c r="H20" s="37"/>
      <c r="I20" s="29"/>
    </row>
    <row r="21">
      <c r="A21" s="31">
        <v>17.0</v>
      </c>
      <c r="B21" s="37"/>
      <c r="C21" s="37"/>
      <c r="D21" s="37"/>
      <c r="E21" s="42">
        <v>2650.0</v>
      </c>
      <c r="F21" s="37"/>
      <c r="G21" s="46">
        <f t="shared" si="1"/>
        <v>2650</v>
      </c>
      <c r="H21" s="37"/>
      <c r="I21" s="29"/>
    </row>
    <row r="22">
      <c r="A22" s="31">
        <v>18.0</v>
      </c>
      <c r="B22" s="37"/>
      <c r="C22" s="37"/>
      <c r="D22" s="37"/>
      <c r="E22" s="42">
        <v>2650.0</v>
      </c>
      <c r="F22" s="37"/>
      <c r="G22" s="46">
        <f t="shared" si="1"/>
        <v>2650</v>
      </c>
      <c r="H22" s="37"/>
      <c r="I22" s="29"/>
    </row>
    <row r="23">
      <c r="A23" s="31">
        <v>19.0</v>
      </c>
      <c r="B23" s="37"/>
      <c r="C23" s="37"/>
      <c r="D23" s="37"/>
      <c r="E23" s="42">
        <v>2650.0</v>
      </c>
      <c r="F23" s="37"/>
      <c r="G23" s="46">
        <f t="shared" si="1"/>
        <v>2650</v>
      </c>
      <c r="H23" s="37"/>
      <c r="I23" s="29"/>
    </row>
    <row r="24">
      <c r="A24" s="31">
        <v>20.0</v>
      </c>
      <c r="B24" s="37"/>
      <c r="C24" s="37"/>
      <c r="D24" s="37"/>
      <c r="E24" s="42">
        <v>2650.0</v>
      </c>
      <c r="F24" s="37"/>
      <c r="G24" s="46">
        <f t="shared" si="1"/>
        <v>2650</v>
      </c>
      <c r="H24" s="37"/>
      <c r="I24" s="29"/>
    </row>
    <row r="25">
      <c r="A25" s="31">
        <v>21.0</v>
      </c>
      <c r="B25" s="37"/>
      <c r="C25" s="37"/>
      <c r="D25" s="37"/>
      <c r="E25" s="42">
        <v>2650.0</v>
      </c>
      <c r="F25" s="37"/>
      <c r="G25" s="46">
        <f t="shared" si="1"/>
        <v>2650</v>
      </c>
      <c r="H25" s="37"/>
      <c r="I25" s="29"/>
    </row>
    <row r="26">
      <c r="A26" s="31">
        <v>22.0</v>
      </c>
      <c r="B26" s="37"/>
      <c r="C26" s="37"/>
      <c r="D26" s="37"/>
      <c r="E26" s="42">
        <v>2650.0</v>
      </c>
      <c r="F26" s="37"/>
      <c r="G26" s="46">
        <f t="shared" si="1"/>
        <v>2650</v>
      </c>
      <c r="H26" s="37"/>
      <c r="I26" s="29"/>
    </row>
    <row r="27">
      <c r="A27" s="31">
        <v>23.0</v>
      </c>
      <c r="B27" s="37"/>
      <c r="C27" s="37"/>
      <c r="D27" s="37"/>
      <c r="E27" s="42">
        <v>2650.0</v>
      </c>
      <c r="F27" s="37"/>
      <c r="G27" s="46">
        <f t="shared" si="1"/>
        <v>2650</v>
      </c>
      <c r="H27" s="37"/>
      <c r="I27" s="29"/>
    </row>
    <row r="28">
      <c r="A28" s="31">
        <v>24.0</v>
      </c>
      <c r="B28" s="37"/>
      <c r="C28" s="37"/>
      <c r="D28" s="37"/>
      <c r="E28" s="42">
        <v>2650.0</v>
      </c>
      <c r="F28" s="37"/>
      <c r="G28" s="46">
        <f t="shared" si="1"/>
        <v>2650</v>
      </c>
      <c r="H28" s="37"/>
      <c r="I28" s="29"/>
    </row>
    <row r="29">
      <c r="A29" s="31">
        <v>25.0</v>
      </c>
      <c r="B29" s="37"/>
      <c r="C29" s="37"/>
      <c r="D29" s="37"/>
      <c r="E29" s="42">
        <v>2650.0</v>
      </c>
      <c r="F29" s="37"/>
      <c r="G29" s="46">
        <f t="shared" si="1"/>
        <v>2650</v>
      </c>
      <c r="H29" s="37"/>
      <c r="I29" s="29"/>
    </row>
    <row r="30">
      <c r="A30" s="31">
        <v>26.0</v>
      </c>
      <c r="B30" s="37"/>
      <c r="C30" s="37"/>
      <c r="D30" s="37"/>
      <c r="E30" s="42">
        <v>2650.0</v>
      </c>
      <c r="F30" s="37"/>
      <c r="G30" s="46">
        <f t="shared" si="1"/>
        <v>2650</v>
      </c>
      <c r="H30" s="37"/>
      <c r="I30" s="29"/>
    </row>
    <row r="31">
      <c r="A31" s="31">
        <v>27.0</v>
      </c>
      <c r="B31" s="37"/>
      <c r="C31" s="37"/>
      <c r="D31" s="37"/>
      <c r="E31" s="42">
        <v>2650.0</v>
      </c>
      <c r="F31" s="37"/>
      <c r="G31" s="46">
        <f t="shared" si="1"/>
        <v>2650</v>
      </c>
      <c r="H31" s="37"/>
      <c r="I31" s="29"/>
    </row>
    <row r="32">
      <c r="A32" s="31">
        <v>28.0</v>
      </c>
      <c r="B32" s="37"/>
      <c r="C32" s="37"/>
      <c r="D32" s="37"/>
      <c r="E32" s="42">
        <v>2650.0</v>
      </c>
      <c r="F32" s="37"/>
      <c r="G32" s="46">
        <f t="shared" si="1"/>
        <v>2650</v>
      </c>
      <c r="H32" s="37"/>
      <c r="I32" s="29"/>
    </row>
    <row r="33">
      <c r="A33" s="31">
        <v>29.0</v>
      </c>
      <c r="B33" s="37"/>
      <c r="C33" s="37"/>
      <c r="D33" s="37"/>
      <c r="E33" s="42">
        <v>2650.0</v>
      </c>
      <c r="F33" s="37"/>
      <c r="G33" s="46">
        <f t="shared" si="1"/>
        <v>2650</v>
      </c>
      <c r="H33" s="37"/>
      <c r="I33" s="29"/>
    </row>
    <row r="34">
      <c r="A34" s="31">
        <v>30.0</v>
      </c>
      <c r="B34" s="37"/>
      <c r="C34" s="37"/>
      <c r="D34" s="37"/>
      <c r="E34" s="42">
        <v>2650.0</v>
      </c>
      <c r="F34" s="37"/>
      <c r="G34" s="46">
        <f t="shared" si="1"/>
        <v>2650</v>
      </c>
      <c r="H34" s="37"/>
      <c r="I34" s="29"/>
    </row>
    <row r="35">
      <c r="A35" s="31">
        <v>31.0</v>
      </c>
      <c r="B35" s="37"/>
      <c r="C35" s="37"/>
      <c r="D35" s="37"/>
      <c r="E35" s="42">
        <v>2650.0</v>
      </c>
      <c r="F35" s="37"/>
      <c r="G35" s="46">
        <f t="shared" si="1"/>
        <v>2650</v>
      </c>
      <c r="H35" s="37"/>
      <c r="I35" s="29"/>
    </row>
    <row r="36">
      <c r="A36" s="31">
        <v>32.0</v>
      </c>
      <c r="B36" s="37"/>
      <c r="C36" s="37"/>
      <c r="D36" s="37"/>
      <c r="E36" s="42">
        <v>2650.0</v>
      </c>
      <c r="F36" s="37"/>
      <c r="G36" s="46">
        <f t="shared" si="1"/>
        <v>2650</v>
      </c>
      <c r="H36" s="37"/>
      <c r="I36" s="29"/>
    </row>
    <row r="37">
      <c r="A37" s="31">
        <v>33.0</v>
      </c>
      <c r="B37" s="37"/>
      <c r="C37" s="37"/>
      <c r="D37" s="37"/>
      <c r="E37" s="42">
        <v>2650.0</v>
      </c>
      <c r="F37" s="37"/>
      <c r="G37" s="46">
        <f t="shared" si="1"/>
        <v>2650</v>
      </c>
      <c r="H37" s="37"/>
      <c r="I37" s="29"/>
    </row>
    <row r="38">
      <c r="A38" s="31">
        <v>34.0</v>
      </c>
      <c r="B38" s="37"/>
      <c r="C38" s="37"/>
      <c r="D38" s="37"/>
      <c r="E38" s="42">
        <v>2650.0</v>
      </c>
      <c r="F38" s="37"/>
      <c r="G38" s="46">
        <f t="shared" si="1"/>
        <v>2650</v>
      </c>
      <c r="H38" s="37"/>
      <c r="I38" s="29"/>
    </row>
    <row r="39">
      <c r="A39" s="31">
        <v>35.0</v>
      </c>
      <c r="B39" s="37"/>
      <c r="C39" s="37"/>
      <c r="D39" s="37"/>
      <c r="E39" s="42">
        <v>2650.0</v>
      </c>
      <c r="F39" s="37"/>
      <c r="G39" s="46">
        <f t="shared" si="1"/>
        <v>2650</v>
      </c>
      <c r="H39" s="37"/>
      <c r="I39" s="29"/>
    </row>
    <row r="40">
      <c r="A40" s="31">
        <v>36.0</v>
      </c>
      <c r="B40" s="37"/>
      <c r="C40" s="37"/>
      <c r="D40" s="37"/>
      <c r="E40" s="42">
        <v>2650.0</v>
      </c>
      <c r="F40" s="37"/>
      <c r="G40" s="46">
        <f t="shared" si="1"/>
        <v>2650</v>
      </c>
      <c r="H40" s="37"/>
      <c r="I40" s="29"/>
    </row>
    <row r="41">
      <c r="A41" s="31">
        <v>37.0</v>
      </c>
      <c r="B41" s="37"/>
      <c r="C41" s="37"/>
      <c r="D41" s="37"/>
      <c r="E41" s="42">
        <v>2650.0</v>
      </c>
      <c r="F41" s="37"/>
      <c r="G41" s="46">
        <f t="shared" si="1"/>
        <v>2650</v>
      </c>
      <c r="H41" s="37"/>
      <c r="I41" s="29"/>
    </row>
    <row r="42">
      <c r="A42" s="31">
        <v>38.0</v>
      </c>
      <c r="B42" s="40">
        <f>countif(B4:B41,"*")</f>
        <v>9</v>
      </c>
      <c r="C42" s="37"/>
      <c r="D42" s="37"/>
      <c r="E42" s="37"/>
      <c r="F42" s="37"/>
      <c r="G42" s="37"/>
      <c r="H42" s="37"/>
      <c r="I42" s="37"/>
    </row>
    <row r="43">
      <c r="A43" s="31">
        <v>39.0</v>
      </c>
    </row>
    <row r="44">
      <c r="A44" s="31">
        <v>40.0</v>
      </c>
    </row>
    <row r="45">
      <c r="A45" s="31">
        <v>41.0</v>
      </c>
    </row>
    <row r="46">
      <c r="A46" s="31">
        <v>42.0</v>
      </c>
    </row>
    <row r="47">
      <c r="A47" s="31">
        <v>43.0</v>
      </c>
    </row>
    <row r="48">
      <c r="A48" s="31">
        <v>44.0</v>
      </c>
    </row>
    <row r="49">
      <c r="A49" s="31">
        <v>45.0</v>
      </c>
    </row>
  </sheetData>
  <mergeCells count="11">
    <mergeCell ref="B3:B4"/>
    <mergeCell ref="C3:C4"/>
    <mergeCell ref="G2:H2"/>
    <mergeCell ref="E3:H3"/>
    <mergeCell ref="A1:H1"/>
    <mergeCell ref="I1:I3"/>
    <mergeCell ref="A2:B2"/>
    <mergeCell ref="C2:D2"/>
    <mergeCell ref="E2:F2"/>
    <mergeCell ref="A3:A4"/>
    <mergeCell ref="D3:D4"/>
  </mergeCells>
  <dataValidations>
    <dataValidation type="list" allowBlank="1" sqref="D5:D41">
      <formula1>Data!$A$2:$A$12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9.0"/>
    <col customWidth="1" min="3" max="3" width="10.38"/>
    <col customWidth="1" min="4" max="4" width="13.63"/>
    <col customWidth="1" min="5" max="5" width="21.63"/>
    <col customWidth="1" min="6" max="6" width="16.13"/>
    <col customWidth="1" min="7" max="7" width="13.25"/>
    <col customWidth="1" min="8" max="8" width="25.25"/>
    <col customWidth="1" min="10" max="10" width="21.63"/>
    <col customWidth="1" min="11" max="11" width="4.5"/>
    <col customWidth="1" min="12" max="12" width="21.63"/>
    <col customWidth="1" min="13" max="13" width="22.88"/>
    <col customWidth="1" min="18" max="18" width="38.25"/>
  </cols>
  <sheetData>
    <row r="1">
      <c r="A1" s="3" t="s">
        <v>325</v>
      </c>
      <c r="B1" s="5"/>
      <c r="C1" s="5"/>
      <c r="D1" s="5"/>
      <c r="E1" s="5"/>
      <c r="F1" s="5"/>
      <c r="G1" s="5"/>
      <c r="H1" s="6"/>
      <c r="I1" s="8" t="s">
        <v>17</v>
      </c>
      <c r="K1" s="3" t="s">
        <v>326</v>
      </c>
      <c r="L1" s="5"/>
      <c r="M1" s="5"/>
      <c r="N1" s="5"/>
      <c r="O1" s="5"/>
      <c r="P1" s="5"/>
      <c r="Q1" s="5"/>
      <c r="R1" s="6"/>
      <c r="S1" s="8" t="s">
        <v>17</v>
      </c>
    </row>
    <row r="2">
      <c r="A2" s="25"/>
      <c r="B2" s="18"/>
      <c r="C2" s="5"/>
      <c r="D2" s="160"/>
      <c r="E2" s="6"/>
      <c r="F2" s="160"/>
      <c r="G2" s="5"/>
      <c r="H2" s="6"/>
      <c r="I2" s="138"/>
      <c r="K2" s="25"/>
      <c r="L2" s="18"/>
      <c r="M2" s="5"/>
      <c r="N2" s="160"/>
      <c r="O2" s="6"/>
      <c r="P2" s="160"/>
      <c r="Q2" s="5"/>
      <c r="R2" s="6"/>
      <c r="S2" s="138"/>
    </row>
    <row r="3">
      <c r="A3" s="14" t="s">
        <v>21</v>
      </c>
      <c r="B3" s="14" t="s">
        <v>22</v>
      </c>
      <c r="C3" s="14" t="s">
        <v>24</v>
      </c>
      <c r="D3" s="14" t="s">
        <v>0</v>
      </c>
      <c r="E3" s="18" t="s">
        <v>26</v>
      </c>
      <c r="F3" s="5"/>
      <c r="G3" s="5"/>
      <c r="H3" s="6"/>
      <c r="I3" s="15"/>
      <c r="K3" s="14" t="s">
        <v>21</v>
      </c>
      <c r="L3" s="14" t="s">
        <v>22</v>
      </c>
      <c r="M3" s="14" t="s">
        <v>24</v>
      </c>
      <c r="N3" s="14" t="s">
        <v>0</v>
      </c>
      <c r="O3" s="18" t="s">
        <v>26</v>
      </c>
      <c r="P3" s="5"/>
      <c r="Q3" s="5"/>
      <c r="R3" s="6"/>
      <c r="S3" s="15"/>
    </row>
    <row r="4">
      <c r="A4" s="15"/>
      <c r="B4" s="15"/>
      <c r="C4" s="15"/>
      <c r="D4" s="15"/>
      <c r="E4" s="25" t="s">
        <v>34</v>
      </c>
      <c r="F4" s="25" t="s">
        <v>35</v>
      </c>
      <c r="G4" s="25" t="s">
        <v>36</v>
      </c>
      <c r="H4" s="25" t="s">
        <v>37</v>
      </c>
      <c r="I4" s="29"/>
      <c r="K4" s="15"/>
      <c r="L4" s="15"/>
      <c r="M4" s="15"/>
      <c r="N4" s="15"/>
      <c r="O4" s="25" t="s">
        <v>34</v>
      </c>
      <c r="P4" s="25" t="s">
        <v>35</v>
      </c>
      <c r="Q4" s="25" t="s">
        <v>36</v>
      </c>
      <c r="R4" s="25" t="s">
        <v>37</v>
      </c>
      <c r="S4" s="29"/>
    </row>
    <row r="5">
      <c r="A5" s="31">
        <v>1.0</v>
      </c>
      <c r="B5" s="1" t="s">
        <v>327</v>
      </c>
      <c r="C5" s="1">
        <v>1.026205787E9</v>
      </c>
      <c r="D5" s="1" t="s">
        <v>15</v>
      </c>
      <c r="E5" s="42">
        <v>650.0</v>
      </c>
      <c r="F5" s="1"/>
      <c r="G5" s="46">
        <f t="shared" ref="G5:G9" si="1">E5-F5</f>
        <v>650</v>
      </c>
      <c r="H5" s="1"/>
      <c r="I5" s="29"/>
      <c r="K5" s="31">
        <v>1.0</v>
      </c>
      <c r="L5" s="1" t="s">
        <v>328</v>
      </c>
      <c r="M5" s="1">
        <v>1.00548868E9</v>
      </c>
      <c r="N5" s="1" t="s">
        <v>15</v>
      </c>
      <c r="O5" s="42">
        <v>650.0</v>
      </c>
      <c r="P5" s="1">
        <v>575.0</v>
      </c>
      <c r="Q5" s="46">
        <f t="shared" ref="Q5:Q42" si="2">O5-P5</f>
        <v>75</v>
      </c>
      <c r="R5" s="1" t="s">
        <v>329</v>
      </c>
      <c r="S5" s="29"/>
    </row>
    <row r="6">
      <c r="A6" s="31">
        <v>2.0</v>
      </c>
      <c r="B6" s="1" t="s">
        <v>321</v>
      </c>
      <c r="C6" s="1">
        <v>1.222339029E9</v>
      </c>
      <c r="D6" s="1" t="s">
        <v>15</v>
      </c>
      <c r="E6" s="42">
        <v>650.0</v>
      </c>
      <c r="F6" s="37"/>
      <c r="G6" s="46">
        <f t="shared" si="1"/>
        <v>650</v>
      </c>
      <c r="H6" s="1"/>
      <c r="I6" s="29"/>
      <c r="K6" s="31">
        <v>2.0</v>
      </c>
      <c r="L6" s="1" t="s">
        <v>330</v>
      </c>
      <c r="M6" s="171">
        <v>1.27100056E9</v>
      </c>
      <c r="N6" s="1" t="s">
        <v>15</v>
      </c>
      <c r="O6" s="42">
        <v>650.0</v>
      </c>
      <c r="P6" s="1">
        <v>650.0</v>
      </c>
      <c r="Q6" s="46">
        <f t="shared" si="2"/>
        <v>0</v>
      </c>
      <c r="R6" s="1" t="s">
        <v>50</v>
      </c>
      <c r="S6" s="29"/>
    </row>
    <row r="7">
      <c r="A7" s="31">
        <v>3.0</v>
      </c>
      <c r="B7" s="1" t="s">
        <v>331</v>
      </c>
      <c r="C7" s="1">
        <v>1.55499037E9</v>
      </c>
      <c r="D7" s="1" t="s">
        <v>15</v>
      </c>
      <c r="E7" s="42">
        <v>650.0</v>
      </c>
      <c r="F7" s="1"/>
      <c r="G7" s="46">
        <f t="shared" si="1"/>
        <v>650</v>
      </c>
      <c r="H7" s="1"/>
      <c r="I7" s="29"/>
      <c r="K7" s="31">
        <v>3.0</v>
      </c>
      <c r="L7" s="1" t="s">
        <v>332</v>
      </c>
      <c r="M7" s="1">
        <v>1.150056E9</v>
      </c>
      <c r="N7" s="1" t="s">
        <v>15</v>
      </c>
      <c r="O7" s="42">
        <v>650.0</v>
      </c>
      <c r="P7" s="1">
        <v>575.0</v>
      </c>
      <c r="Q7" s="46">
        <f t="shared" si="2"/>
        <v>75</v>
      </c>
      <c r="R7" s="1" t="s">
        <v>333</v>
      </c>
      <c r="S7" s="29"/>
    </row>
    <row r="8">
      <c r="A8" s="31">
        <v>4.0</v>
      </c>
      <c r="B8" s="1" t="s">
        <v>334</v>
      </c>
      <c r="C8" s="1">
        <v>1.270190006E9</v>
      </c>
      <c r="D8" s="1" t="s">
        <v>15</v>
      </c>
      <c r="E8" s="42">
        <v>550.0</v>
      </c>
      <c r="F8" s="1"/>
      <c r="G8" s="46">
        <f t="shared" si="1"/>
        <v>550</v>
      </c>
      <c r="H8" s="1" t="s">
        <v>335</v>
      </c>
      <c r="I8" s="29"/>
      <c r="K8" s="31">
        <v>4.0</v>
      </c>
      <c r="L8" s="1" t="s">
        <v>336</v>
      </c>
      <c r="M8" s="1">
        <v>1.227447039E9</v>
      </c>
      <c r="N8" s="1" t="s">
        <v>15</v>
      </c>
      <c r="O8" s="42">
        <v>550.0</v>
      </c>
      <c r="P8" s="1">
        <v>500.0</v>
      </c>
      <c r="Q8" s="46">
        <f t="shared" si="2"/>
        <v>50</v>
      </c>
      <c r="R8" s="1" t="s">
        <v>337</v>
      </c>
      <c r="S8" s="29"/>
    </row>
    <row r="9">
      <c r="A9" s="31">
        <v>5.0</v>
      </c>
      <c r="B9" s="1" t="s">
        <v>338</v>
      </c>
      <c r="C9" s="1">
        <v>1.000765611E9</v>
      </c>
      <c r="D9" s="1" t="s">
        <v>15</v>
      </c>
      <c r="E9" s="42">
        <v>550.0</v>
      </c>
      <c r="F9" s="37"/>
      <c r="G9" s="46">
        <f t="shared" si="1"/>
        <v>550</v>
      </c>
      <c r="H9" s="1" t="s">
        <v>335</v>
      </c>
      <c r="I9" s="29"/>
      <c r="K9" s="31">
        <v>5.0</v>
      </c>
      <c r="L9" s="1" t="s">
        <v>339</v>
      </c>
      <c r="M9" s="1">
        <v>1.227754672E9</v>
      </c>
      <c r="N9" s="1" t="s">
        <v>15</v>
      </c>
      <c r="O9" s="42">
        <v>650.0</v>
      </c>
      <c r="P9" s="1">
        <v>650.0</v>
      </c>
      <c r="Q9" s="46">
        <f t="shared" si="2"/>
        <v>0</v>
      </c>
      <c r="R9" s="1" t="s">
        <v>107</v>
      </c>
      <c r="S9" s="29"/>
    </row>
    <row r="10">
      <c r="A10" s="31">
        <v>6.0</v>
      </c>
      <c r="B10" s="1"/>
      <c r="C10" s="37"/>
      <c r="D10" s="1"/>
      <c r="E10" s="42"/>
      <c r="F10" s="1"/>
      <c r="G10" s="46">
        <f>E10-H14</f>
        <v>0</v>
      </c>
      <c r="H10" s="1"/>
      <c r="I10" s="29"/>
      <c r="K10" s="31">
        <v>6.0</v>
      </c>
      <c r="L10" s="1" t="s">
        <v>275</v>
      </c>
      <c r="M10" s="1">
        <v>1.001474499E9</v>
      </c>
      <c r="N10" s="1" t="s">
        <v>15</v>
      </c>
      <c r="O10" s="42">
        <v>550.0</v>
      </c>
      <c r="P10" s="1">
        <v>550.0</v>
      </c>
      <c r="Q10" s="46">
        <f t="shared" si="2"/>
        <v>0</v>
      </c>
      <c r="R10" s="1" t="s">
        <v>335</v>
      </c>
      <c r="S10" s="29"/>
    </row>
    <row r="11">
      <c r="A11" s="31">
        <v>7.0</v>
      </c>
      <c r="B11" s="1"/>
      <c r="C11" s="37"/>
      <c r="D11" s="1"/>
      <c r="E11" s="42"/>
      <c r="F11" s="37"/>
      <c r="G11" s="46">
        <f t="shared" ref="G11:G42" si="3">E11-F11</f>
        <v>0</v>
      </c>
      <c r="H11" s="1"/>
      <c r="I11" s="29"/>
      <c r="K11" s="31">
        <v>7.0</v>
      </c>
      <c r="L11" s="163" t="s">
        <v>342</v>
      </c>
      <c r="M11" s="1">
        <v>1.001600063E9</v>
      </c>
      <c r="N11" s="1" t="s">
        <v>15</v>
      </c>
      <c r="O11" s="42">
        <v>750.0</v>
      </c>
      <c r="P11" s="1">
        <v>750.0</v>
      </c>
      <c r="Q11" s="46">
        <f t="shared" si="2"/>
        <v>0</v>
      </c>
      <c r="R11" s="1" t="s">
        <v>343</v>
      </c>
      <c r="S11" s="29"/>
    </row>
    <row r="12">
      <c r="A12" s="31">
        <v>8.0</v>
      </c>
      <c r="B12" s="1"/>
      <c r="C12" s="37"/>
      <c r="D12" s="1"/>
      <c r="E12" s="42"/>
      <c r="F12" s="1"/>
      <c r="G12" s="46">
        <f t="shared" si="3"/>
        <v>0</v>
      </c>
      <c r="H12" s="1"/>
      <c r="I12" s="29"/>
      <c r="K12" s="31">
        <v>8.0</v>
      </c>
      <c r="L12" s="163" t="s">
        <v>344</v>
      </c>
      <c r="M12" s="1">
        <v>1.008794369E9</v>
      </c>
      <c r="N12" s="1" t="s">
        <v>15</v>
      </c>
      <c r="O12" s="42">
        <v>550.0</v>
      </c>
      <c r="P12" s="1">
        <v>550.0</v>
      </c>
      <c r="Q12" s="46">
        <f t="shared" si="2"/>
        <v>0</v>
      </c>
      <c r="R12" s="1" t="s">
        <v>108</v>
      </c>
      <c r="S12" s="29"/>
    </row>
    <row r="13">
      <c r="A13" s="31">
        <v>9.0</v>
      </c>
      <c r="B13" s="1"/>
      <c r="C13" s="37"/>
      <c r="D13" s="1"/>
      <c r="E13" s="42"/>
      <c r="F13" s="37"/>
      <c r="G13" s="46">
        <f t="shared" si="3"/>
        <v>0</v>
      </c>
      <c r="H13" s="37"/>
      <c r="I13" s="29"/>
      <c r="K13" s="31">
        <v>9.0</v>
      </c>
      <c r="L13" s="163" t="s">
        <v>273</v>
      </c>
      <c r="M13" s="1">
        <v>1.001703976E9</v>
      </c>
      <c r="N13" s="1" t="s">
        <v>15</v>
      </c>
      <c r="O13" s="42">
        <v>550.0</v>
      </c>
      <c r="P13" s="1">
        <v>550.0</v>
      </c>
      <c r="Q13" s="46">
        <f t="shared" si="2"/>
        <v>0</v>
      </c>
      <c r="R13" s="1" t="s">
        <v>335</v>
      </c>
      <c r="S13" s="29"/>
    </row>
    <row r="14">
      <c r="A14" s="31">
        <v>10.0</v>
      </c>
      <c r="B14" s="37"/>
      <c r="C14" s="37"/>
      <c r="D14" s="37"/>
      <c r="E14" s="42"/>
      <c r="F14" s="37"/>
      <c r="G14" s="46">
        <f t="shared" si="3"/>
        <v>0</v>
      </c>
      <c r="H14" s="37"/>
      <c r="I14" s="29"/>
      <c r="K14" s="31">
        <v>10.0</v>
      </c>
      <c r="N14" s="1"/>
      <c r="O14" s="42"/>
      <c r="P14" s="37"/>
      <c r="Q14" s="46">
        <f t="shared" si="2"/>
        <v>0</v>
      </c>
      <c r="S14" s="29"/>
    </row>
    <row r="15">
      <c r="A15" s="31">
        <v>11.0</v>
      </c>
      <c r="B15" s="37"/>
      <c r="C15" s="37"/>
      <c r="D15" s="37"/>
      <c r="E15" s="42"/>
      <c r="F15" s="37"/>
      <c r="G15" s="46">
        <f t="shared" si="3"/>
        <v>0</v>
      </c>
      <c r="H15" s="37"/>
      <c r="I15" s="29"/>
      <c r="K15" s="31">
        <v>11.0</v>
      </c>
      <c r="L15" s="37"/>
      <c r="M15" s="37"/>
      <c r="N15" s="37"/>
      <c r="O15" s="42"/>
      <c r="P15" s="37"/>
      <c r="Q15" s="46">
        <f t="shared" si="2"/>
        <v>0</v>
      </c>
      <c r="R15" s="37"/>
      <c r="S15" s="29"/>
    </row>
    <row r="16">
      <c r="A16" s="31">
        <v>12.0</v>
      </c>
      <c r="B16" s="37"/>
      <c r="C16" s="37"/>
      <c r="D16" s="37"/>
      <c r="E16" s="42"/>
      <c r="F16" s="37"/>
      <c r="G16" s="46">
        <f t="shared" si="3"/>
        <v>0</v>
      </c>
      <c r="H16" s="37"/>
      <c r="I16" s="29"/>
      <c r="K16" s="31">
        <v>12.0</v>
      </c>
      <c r="L16" s="37"/>
      <c r="M16" s="37"/>
      <c r="N16" s="37"/>
      <c r="O16" s="42"/>
      <c r="P16" s="37"/>
      <c r="Q16" s="46">
        <f t="shared" si="2"/>
        <v>0</v>
      </c>
      <c r="R16" s="37"/>
      <c r="S16" s="29"/>
    </row>
    <row r="17">
      <c r="A17" s="31">
        <v>13.0</v>
      </c>
      <c r="B17" s="37"/>
      <c r="C17" s="37"/>
      <c r="D17" s="37"/>
      <c r="E17" s="42"/>
      <c r="F17" s="37"/>
      <c r="G17" s="46">
        <f t="shared" si="3"/>
        <v>0</v>
      </c>
      <c r="H17" s="37"/>
      <c r="I17" s="29"/>
      <c r="K17" s="31">
        <v>13.0</v>
      </c>
      <c r="L17" s="37"/>
      <c r="M17" s="37"/>
      <c r="N17" s="37"/>
      <c r="O17" s="42"/>
      <c r="P17" s="37"/>
      <c r="Q17" s="46">
        <f t="shared" si="2"/>
        <v>0</v>
      </c>
      <c r="R17" s="37"/>
      <c r="S17" s="29"/>
    </row>
    <row r="18">
      <c r="A18" s="31">
        <v>14.0</v>
      </c>
      <c r="B18" s="37"/>
      <c r="C18" s="37"/>
      <c r="D18" s="37"/>
      <c r="E18" s="42"/>
      <c r="F18" s="37"/>
      <c r="G18" s="46">
        <f t="shared" si="3"/>
        <v>0</v>
      </c>
      <c r="H18" s="37"/>
      <c r="I18" s="29"/>
      <c r="K18" s="31">
        <v>14.0</v>
      </c>
      <c r="L18" s="37"/>
      <c r="M18" s="37"/>
      <c r="N18" s="37"/>
      <c r="O18" s="42"/>
      <c r="P18" s="37"/>
      <c r="Q18" s="46">
        <f t="shared" si="2"/>
        <v>0</v>
      </c>
      <c r="R18" s="37"/>
      <c r="S18" s="29"/>
    </row>
    <row r="19">
      <c r="A19" s="31">
        <v>15.0</v>
      </c>
      <c r="B19" s="37"/>
      <c r="C19" s="37"/>
      <c r="D19" s="37"/>
      <c r="E19" s="42"/>
      <c r="F19" s="37"/>
      <c r="G19" s="46">
        <f t="shared" si="3"/>
        <v>0</v>
      </c>
      <c r="H19" s="37"/>
      <c r="I19" s="29"/>
      <c r="K19" s="31">
        <v>15.0</v>
      </c>
      <c r="L19" s="37"/>
      <c r="M19" s="37"/>
      <c r="N19" s="37"/>
      <c r="O19" s="42"/>
      <c r="P19" s="37"/>
      <c r="Q19" s="46">
        <f t="shared" si="2"/>
        <v>0</v>
      </c>
      <c r="R19" s="37"/>
      <c r="S19" s="29"/>
    </row>
    <row r="20">
      <c r="A20" s="31">
        <v>16.0</v>
      </c>
      <c r="B20" s="37"/>
      <c r="C20" s="37"/>
      <c r="D20" s="37"/>
      <c r="E20" s="42"/>
      <c r="F20" s="37"/>
      <c r="G20" s="46">
        <f t="shared" si="3"/>
        <v>0</v>
      </c>
      <c r="H20" s="37"/>
      <c r="I20" s="29"/>
      <c r="K20" s="31">
        <v>16.0</v>
      </c>
      <c r="L20" s="37"/>
      <c r="M20" s="37"/>
      <c r="N20" s="37"/>
      <c r="O20" s="42"/>
      <c r="P20" s="37"/>
      <c r="Q20" s="46">
        <f t="shared" si="2"/>
        <v>0</v>
      </c>
      <c r="R20" s="37"/>
      <c r="S20" s="29"/>
    </row>
    <row r="21">
      <c r="A21" s="31">
        <v>17.0</v>
      </c>
      <c r="B21" s="37"/>
      <c r="C21" s="37"/>
      <c r="D21" s="37"/>
      <c r="E21" s="42"/>
      <c r="F21" s="37"/>
      <c r="G21" s="46">
        <f t="shared" si="3"/>
        <v>0</v>
      </c>
      <c r="H21" s="37"/>
      <c r="I21" s="29"/>
      <c r="K21" s="31">
        <v>17.0</v>
      </c>
      <c r="L21" s="37"/>
      <c r="M21" s="37"/>
      <c r="N21" s="37"/>
      <c r="O21" s="42"/>
      <c r="P21" s="37"/>
      <c r="Q21" s="46">
        <f t="shared" si="2"/>
        <v>0</v>
      </c>
      <c r="R21" s="37"/>
      <c r="S21" s="29"/>
    </row>
    <row r="22">
      <c r="A22" s="31">
        <v>18.0</v>
      </c>
      <c r="B22" s="37"/>
      <c r="C22" s="37"/>
      <c r="D22" s="37"/>
      <c r="E22" s="42"/>
      <c r="F22" s="37"/>
      <c r="G22" s="46">
        <f t="shared" si="3"/>
        <v>0</v>
      </c>
      <c r="H22" s="37"/>
      <c r="I22" s="29"/>
      <c r="K22" s="31">
        <v>18.0</v>
      </c>
      <c r="L22" s="37"/>
      <c r="M22" s="37"/>
      <c r="N22" s="37"/>
      <c r="O22" s="42"/>
      <c r="P22" s="37"/>
      <c r="Q22" s="46">
        <f t="shared" si="2"/>
        <v>0</v>
      </c>
      <c r="R22" s="37"/>
      <c r="S22" s="29"/>
    </row>
    <row r="23">
      <c r="A23" s="31">
        <v>19.0</v>
      </c>
      <c r="B23" s="37"/>
      <c r="C23" s="37"/>
      <c r="D23" s="37"/>
      <c r="E23" s="42"/>
      <c r="F23" s="37"/>
      <c r="G23" s="46">
        <f t="shared" si="3"/>
        <v>0</v>
      </c>
      <c r="H23" s="37"/>
      <c r="I23" s="29"/>
      <c r="K23" s="31">
        <v>19.0</v>
      </c>
      <c r="L23" s="37"/>
      <c r="M23" s="37"/>
      <c r="N23" s="37"/>
      <c r="O23" s="42"/>
      <c r="P23" s="37"/>
      <c r="Q23" s="46">
        <f t="shared" si="2"/>
        <v>0</v>
      </c>
      <c r="R23" s="37"/>
      <c r="S23" s="29"/>
    </row>
    <row r="24">
      <c r="A24" s="31">
        <v>20.0</v>
      </c>
      <c r="B24" s="37"/>
      <c r="C24" s="37"/>
      <c r="D24" s="37"/>
      <c r="E24" s="42"/>
      <c r="F24" s="37"/>
      <c r="G24" s="46">
        <f t="shared" si="3"/>
        <v>0</v>
      </c>
      <c r="H24" s="37"/>
      <c r="I24" s="29"/>
      <c r="K24" s="31">
        <v>20.0</v>
      </c>
      <c r="L24" s="37"/>
      <c r="M24" s="37"/>
      <c r="N24" s="37"/>
      <c r="O24" s="42"/>
      <c r="P24" s="37"/>
      <c r="Q24" s="46">
        <f t="shared" si="2"/>
        <v>0</v>
      </c>
      <c r="R24" s="37"/>
      <c r="S24" s="29"/>
    </row>
    <row r="25">
      <c r="A25" s="31">
        <v>21.0</v>
      </c>
      <c r="B25" s="37"/>
      <c r="C25" s="37"/>
      <c r="D25" s="37"/>
      <c r="E25" s="42"/>
      <c r="F25" s="37"/>
      <c r="G25" s="46">
        <f t="shared" si="3"/>
        <v>0</v>
      </c>
      <c r="H25" s="37"/>
      <c r="I25" s="29"/>
      <c r="K25" s="31">
        <v>21.0</v>
      </c>
      <c r="L25" s="37"/>
      <c r="M25" s="37"/>
      <c r="N25" s="37"/>
      <c r="O25" s="42"/>
      <c r="P25" s="37"/>
      <c r="Q25" s="46">
        <f t="shared" si="2"/>
        <v>0</v>
      </c>
      <c r="R25" s="37"/>
      <c r="S25" s="29"/>
    </row>
    <row r="26">
      <c r="A26" s="31">
        <v>22.0</v>
      </c>
      <c r="B26" s="37"/>
      <c r="C26" s="37"/>
      <c r="D26" s="37"/>
      <c r="E26" s="42"/>
      <c r="F26" s="37"/>
      <c r="G26" s="46">
        <f t="shared" si="3"/>
        <v>0</v>
      </c>
      <c r="H26" s="37"/>
      <c r="I26" s="29"/>
      <c r="K26" s="31">
        <v>22.0</v>
      </c>
      <c r="L26" s="37"/>
      <c r="M26" s="37"/>
      <c r="N26" s="37"/>
      <c r="O26" s="42"/>
      <c r="P26" s="37"/>
      <c r="Q26" s="46">
        <f t="shared" si="2"/>
        <v>0</v>
      </c>
      <c r="R26" s="37"/>
      <c r="S26" s="29"/>
    </row>
    <row r="27">
      <c r="A27" s="31">
        <v>23.0</v>
      </c>
      <c r="B27" s="37"/>
      <c r="C27" s="37"/>
      <c r="D27" s="37"/>
      <c r="E27" s="42"/>
      <c r="F27" s="37"/>
      <c r="G27" s="46">
        <f t="shared" si="3"/>
        <v>0</v>
      </c>
      <c r="H27" s="37"/>
      <c r="I27" s="29"/>
      <c r="K27" s="31">
        <v>23.0</v>
      </c>
      <c r="L27" s="37"/>
      <c r="M27" s="37"/>
      <c r="N27" s="37"/>
      <c r="O27" s="42"/>
      <c r="P27" s="37"/>
      <c r="Q27" s="46">
        <f t="shared" si="2"/>
        <v>0</v>
      </c>
      <c r="R27" s="37"/>
      <c r="S27" s="29"/>
    </row>
    <row r="28">
      <c r="A28" s="31">
        <v>24.0</v>
      </c>
      <c r="B28" s="37"/>
      <c r="C28" s="37"/>
      <c r="D28" s="37"/>
      <c r="E28" s="42"/>
      <c r="F28" s="37"/>
      <c r="G28" s="46">
        <f t="shared" si="3"/>
        <v>0</v>
      </c>
      <c r="H28" s="37"/>
      <c r="I28" s="29"/>
      <c r="K28" s="31">
        <v>24.0</v>
      </c>
      <c r="L28" s="37"/>
      <c r="M28" s="37"/>
      <c r="N28" s="37"/>
      <c r="O28" s="42"/>
      <c r="P28" s="37"/>
      <c r="Q28" s="46">
        <f t="shared" si="2"/>
        <v>0</v>
      </c>
      <c r="R28" s="37"/>
      <c r="S28" s="29"/>
    </row>
    <row r="29">
      <c r="A29" s="31">
        <v>25.0</v>
      </c>
      <c r="B29" s="37"/>
      <c r="C29" s="37"/>
      <c r="D29" s="37"/>
      <c r="E29" s="42"/>
      <c r="F29" s="37"/>
      <c r="G29" s="46">
        <f t="shared" si="3"/>
        <v>0</v>
      </c>
      <c r="H29" s="37"/>
      <c r="I29" s="29"/>
      <c r="K29" s="31">
        <v>25.0</v>
      </c>
      <c r="L29" s="37"/>
      <c r="M29" s="37"/>
      <c r="N29" s="37"/>
      <c r="O29" s="42"/>
      <c r="P29" s="37"/>
      <c r="Q29" s="46">
        <f t="shared" si="2"/>
        <v>0</v>
      </c>
      <c r="R29" s="37"/>
      <c r="S29" s="29"/>
    </row>
    <row r="30">
      <c r="A30" s="31">
        <v>26.0</v>
      </c>
      <c r="B30" s="37"/>
      <c r="C30" s="37"/>
      <c r="D30" s="37"/>
      <c r="E30" s="42"/>
      <c r="F30" s="37"/>
      <c r="G30" s="46">
        <f t="shared" si="3"/>
        <v>0</v>
      </c>
      <c r="H30" s="37"/>
      <c r="I30" s="29"/>
      <c r="K30" s="31">
        <v>26.0</v>
      </c>
      <c r="L30" s="37"/>
      <c r="M30" s="37"/>
      <c r="N30" s="37"/>
      <c r="O30" s="42"/>
      <c r="P30" s="37"/>
      <c r="Q30" s="46">
        <f t="shared" si="2"/>
        <v>0</v>
      </c>
      <c r="R30" s="37"/>
      <c r="S30" s="29"/>
    </row>
    <row r="31">
      <c r="A31" s="31">
        <v>27.0</v>
      </c>
      <c r="B31" s="37"/>
      <c r="C31" s="37"/>
      <c r="D31" s="37"/>
      <c r="E31" s="42"/>
      <c r="F31" s="37"/>
      <c r="G31" s="46">
        <f t="shared" si="3"/>
        <v>0</v>
      </c>
      <c r="H31" s="37"/>
      <c r="I31" s="29"/>
      <c r="K31" s="31">
        <v>27.0</v>
      </c>
      <c r="L31" s="37"/>
      <c r="M31" s="37"/>
      <c r="N31" s="37"/>
      <c r="O31" s="42"/>
      <c r="P31" s="37"/>
      <c r="Q31" s="46">
        <f t="shared" si="2"/>
        <v>0</v>
      </c>
      <c r="R31" s="37"/>
      <c r="S31" s="29"/>
    </row>
    <row r="32">
      <c r="A32" s="31">
        <v>28.0</v>
      </c>
      <c r="B32" s="37"/>
      <c r="C32" s="37"/>
      <c r="D32" s="37"/>
      <c r="E32" s="42"/>
      <c r="F32" s="37"/>
      <c r="G32" s="46">
        <f t="shared" si="3"/>
        <v>0</v>
      </c>
      <c r="H32" s="37"/>
      <c r="I32" s="29"/>
      <c r="K32" s="31">
        <v>28.0</v>
      </c>
      <c r="L32" s="37"/>
      <c r="M32" s="37"/>
      <c r="N32" s="37"/>
      <c r="O32" s="42"/>
      <c r="P32" s="37"/>
      <c r="Q32" s="46">
        <f t="shared" si="2"/>
        <v>0</v>
      </c>
      <c r="R32" s="37"/>
      <c r="S32" s="29"/>
    </row>
    <row r="33">
      <c r="A33" s="31">
        <v>29.0</v>
      </c>
      <c r="B33" s="37"/>
      <c r="C33" s="37"/>
      <c r="D33" s="37"/>
      <c r="E33" s="42"/>
      <c r="F33" s="37"/>
      <c r="G33" s="46">
        <f t="shared" si="3"/>
        <v>0</v>
      </c>
      <c r="H33" s="37"/>
      <c r="I33" s="29"/>
      <c r="K33" s="31">
        <v>29.0</v>
      </c>
      <c r="L33" s="37"/>
      <c r="M33" s="37"/>
      <c r="N33" s="37"/>
      <c r="O33" s="42"/>
      <c r="P33" s="37"/>
      <c r="Q33" s="46">
        <f t="shared" si="2"/>
        <v>0</v>
      </c>
      <c r="R33" s="37"/>
      <c r="S33" s="29"/>
    </row>
    <row r="34">
      <c r="A34" s="31">
        <v>30.0</v>
      </c>
      <c r="B34" s="37"/>
      <c r="C34" s="37"/>
      <c r="D34" s="37"/>
      <c r="E34" s="42"/>
      <c r="F34" s="37"/>
      <c r="G34" s="46">
        <f t="shared" si="3"/>
        <v>0</v>
      </c>
      <c r="H34" s="37"/>
      <c r="I34" s="29"/>
      <c r="K34" s="31">
        <v>30.0</v>
      </c>
      <c r="L34" s="37"/>
      <c r="M34" s="37"/>
      <c r="N34" s="37"/>
      <c r="O34" s="42"/>
      <c r="P34" s="37"/>
      <c r="Q34" s="46">
        <f t="shared" si="2"/>
        <v>0</v>
      </c>
      <c r="R34" s="37"/>
      <c r="S34" s="29"/>
    </row>
    <row r="35">
      <c r="A35" s="31">
        <v>31.0</v>
      </c>
      <c r="B35" s="37"/>
      <c r="C35" s="37"/>
      <c r="D35" s="37"/>
      <c r="E35" s="42"/>
      <c r="F35" s="37"/>
      <c r="G35" s="46">
        <f t="shared" si="3"/>
        <v>0</v>
      </c>
      <c r="H35" s="37"/>
      <c r="I35" s="29"/>
      <c r="K35" s="31">
        <v>31.0</v>
      </c>
      <c r="L35" s="37"/>
      <c r="M35" s="37"/>
      <c r="N35" s="37"/>
      <c r="O35" s="42"/>
      <c r="P35" s="37"/>
      <c r="Q35" s="46">
        <f t="shared" si="2"/>
        <v>0</v>
      </c>
      <c r="R35" s="37"/>
      <c r="S35" s="29"/>
    </row>
    <row r="36">
      <c r="A36" s="31">
        <v>32.0</v>
      </c>
      <c r="B36" s="37"/>
      <c r="C36" s="37"/>
      <c r="D36" s="37"/>
      <c r="E36" s="42"/>
      <c r="F36" s="37"/>
      <c r="G36" s="46">
        <f t="shared" si="3"/>
        <v>0</v>
      </c>
      <c r="H36" s="37"/>
      <c r="I36" s="29"/>
      <c r="K36" s="31">
        <v>32.0</v>
      </c>
      <c r="L36" s="37"/>
      <c r="M36" s="37"/>
      <c r="N36" s="37"/>
      <c r="O36" s="42"/>
      <c r="P36" s="37"/>
      <c r="Q36" s="46">
        <f t="shared" si="2"/>
        <v>0</v>
      </c>
      <c r="R36" s="37"/>
      <c r="S36" s="29"/>
    </row>
    <row r="37">
      <c r="A37" s="31">
        <v>33.0</v>
      </c>
      <c r="B37" s="37"/>
      <c r="C37" s="37"/>
      <c r="D37" s="37"/>
      <c r="E37" s="42"/>
      <c r="F37" s="37"/>
      <c r="G37" s="46">
        <f t="shared" si="3"/>
        <v>0</v>
      </c>
      <c r="H37" s="37"/>
      <c r="I37" s="29"/>
      <c r="K37" s="31">
        <v>33.0</v>
      </c>
      <c r="L37" s="37"/>
      <c r="M37" s="37"/>
      <c r="N37" s="37"/>
      <c r="O37" s="42"/>
      <c r="P37" s="37"/>
      <c r="Q37" s="46">
        <f t="shared" si="2"/>
        <v>0</v>
      </c>
      <c r="R37" s="37"/>
      <c r="S37" s="29"/>
    </row>
    <row r="38">
      <c r="A38" s="31">
        <v>34.0</v>
      </c>
      <c r="B38" s="37"/>
      <c r="C38" s="37"/>
      <c r="D38" s="37"/>
      <c r="E38" s="42"/>
      <c r="F38" s="37"/>
      <c r="G38" s="46">
        <f t="shared" si="3"/>
        <v>0</v>
      </c>
      <c r="H38" s="37"/>
      <c r="I38" s="29"/>
      <c r="K38" s="31">
        <v>34.0</v>
      </c>
      <c r="L38" s="37"/>
      <c r="M38" s="37"/>
      <c r="N38" s="37"/>
      <c r="O38" s="42"/>
      <c r="P38" s="37"/>
      <c r="Q38" s="46">
        <f t="shared" si="2"/>
        <v>0</v>
      </c>
      <c r="R38" s="37"/>
      <c r="S38" s="29"/>
    </row>
    <row r="39">
      <c r="A39" s="31">
        <v>35.0</v>
      </c>
      <c r="B39" s="37"/>
      <c r="C39" s="37"/>
      <c r="D39" s="37"/>
      <c r="E39" s="42"/>
      <c r="F39" s="37"/>
      <c r="G39" s="46">
        <f t="shared" si="3"/>
        <v>0</v>
      </c>
      <c r="H39" s="37"/>
      <c r="I39" s="29"/>
      <c r="K39" s="31">
        <v>35.0</v>
      </c>
      <c r="L39" s="37"/>
      <c r="M39" s="37"/>
      <c r="N39" s="37"/>
      <c r="O39" s="42"/>
      <c r="P39" s="37"/>
      <c r="Q39" s="46">
        <f t="shared" si="2"/>
        <v>0</v>
      </c>
      <c r="R39" s="37"/>
      <c r="S39" s="29"/>
    </row>
    <row r="40">
      <c r="A40" s="31">
        <v>36.0</v>
      </c>
      <c r="B40" s="37"/>
      <c r="C40" s="37"/>
      <c r="D40" s="37"/>
      <c r="E40" s="42"/>
      <c r="F40" s="37"/>
      <c r="G40" s="46">
        <f t="shared" si="3"/>
        <v>0</v>
      </c>
      <c r="H40" s="37"/>
      <c r="I40" s="29"/>
      <c r="K40" s="31">
        <v>36.0</v>
      </c>
      <c r="L40" s="37"/>
      <c r="M40" s="37"/>
      <c r="N40" s="37"/>
      <c r="O40" s="42"/>
      <c r="P40" s="37"/>
      <c r="Q40" s="46">
        <f t="shared" si="2"/>
        <v>0</v>
      </c>
      <c r="R40" s="37"/>
      <c r="S40" s="29"/>
    </row>
    <row r="41">
      <c r="A41" s="31">
        <v>37.0</v>
      </c>
      <c r="B41" s="37"/>
      <c r="C41" s="37"/>
      <c r="D41" s="37"/>
      <c r="E41" s="42"/>
      <c r="F41" s="37"/>
      <c r="G41" s="46">
        <f t="shared" si="3"/>
        <v>0</v>
      </c>
      <c r="H41" s="37"/>
      <c r="I41" s="29"/>
      <c r="K41" s="31">
        <v>37.0</v>
      </c>
      <c r="L41" s="37"/>
      <c r="M41" s="37"/>
      <c r="N41" s="37"/>
      <c r="O41" s="42"/>
      <c r="P41" s="37"/>
      <c r="Q41" s="46">
        <f t="shared" si="2"/>
        <v>0</v>
      </c>
      <c r="R41" s="37"/>
      <c r="S41" s="29"/>
    </row>
    <row r="42">
      <c r="A42" s="31">
        <v>38.0</v>
      </c>
      <c r="B42" s="37"/>
      <c r="C42" s="37"/>
      <c r="D42" s="37"/>
      <c r="E42" s="42"/>
      <c r="F42" s="37"/>
      <c r="G42" s="46">
        <f t="shared" si="3"/>
        <v>0</v>
      </c>
      <c r="H42" s="37"/>
      <c r="I42" s="29"/>
      <c r="K42" s="31">
        <v>38.0</v>
      </c>
      <c r="L42" s="37"/>
      <c r="M42" s="37"/>
      <c r="N42" s="37"/>
      <c r="O42" s="42"/>
      <c r="P42" s="37"/>
      <c r="Q42" s="46">
        <f t="shared" si="2"/>
        <v>0</v>
      </c>
      <c r="R42" s="37"/>
      <c r="S42" s="29"/>
    </row>
    <row r="43">
      <c r="A43" s="1" t="s">
        <v>28</v>
      </c>
      <c r="B43" s="40">
        <f>countif(B4:B42,"*")</f>
        <v>5</v>
      </c>
      <c r="C43" s="37"/>
      <c r="D43" s="37"/>
      <c r="E43" s="37"/>
      <c r="F43" s="37"/>
      <c r="G43" s="37"/>
      <c r="H43" s="37"/>
      <c r="I43" s="37"/>
      <c r="K43" s="1" t="s">
        <v>28</v>
      </c>
      <c r="L43" s="40">
        <f>countif(L4:L42,"*")</f>
        <v>9</v>
      </c>
      <c r="M43" s="37"/>
      <c r="N43" s="37"/>
      <c r="O43" s="37"/>
      <c r="P43" s="37"/>
      <c r="Q43" s="37"/>
      <c r="R43" s="37"/>
      <c r="S43" s="37"/>
    </row>
  </sheetData>
  <mergeCells count="20">
    <mergeCell ref="L2:M2"/>
    <mergeCell ref="N2:O2"/>
    <mergeCell ref="K3:K4"/>
    <mergeCell ref="L3:L4"/>
    <mergeCell ref="M3:M4"/>
    <mergeCell ref="N3:N4"/>
    <mergeCell ref="B2:C2"/>
    <mergeCell ref="A3:A4"/>
    <mergeCell ref="B3:B4"/>
    <mergeCell ref="C3:C4"/>
    <mergeCell ref="D3:D4"/>
    <mergeCell ref="P2:R2"/>
    <mergeCell ref="O3:R3"/>
    <mergeCell ref="A1:H1"/>
    <mergeCell ref="I1:I3"/>
    <mergeCell ref="K1:R1"/>
    <mergeCell ref="S1:S3"/>
    <mergeCell ref="D2:E2"/>
    <mergeCell ref="F2:H2"/>
    <mergeCell ref="E3:H3"/>
  </mergeCells>
  <dataValidations>
    <dataValidation type="list" allowBlank="1" sqref="D5:D42 N5:N42">
      <formula1>Data!$A$2:$A$12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0.13"/>
    <col customWidth="1" min="3" max="3" width="11.13"/>
    <col customWidth="1" min="4" max="4" width="6.75"/>
    <col customWidth="1" min="5" max="6" width="15.5"/>
    <col customWidth="1" min="7" max="7" width="11.13"/>
    <col customWidth="1" min="8" max="8" width="25.13"/>
    <col customWidth="1" min="11" max="11" width="3.88"/>
    <col customWidth="1" min="12" max="12" width="18.88"/>
    <col customWidth="1" min="18" max="18" width="25.0"/>
  </cols>
  <sheetData>
    <row r="1">
      <c r="A1" s="3" t="s">
        <v>340</v>
      </c>
      <c r="B1" s="5"/>
      <c r="C1" s="5"/>
      <c r="D1" s="5"/>
      <c r="E1" s="5"/>
      <c r="F1" s="5"/>
      <c r="G1" s="5"/>
      <c r="H1" s="6"/>
      <c r="I1" s="8" t="s">
        <v>17</v>
      </c>
      <c r="K1" s="3" t="s">
        <v>341</v>
      </c>
      <c r="L1" s="5"/>
      <c r="M1" s="5"/>
      <c r="N1" s="5"/>
      <c r="O1" s="5"/>
      <c r="P1" s="5"/>
      <c r="Q1" s="5"/>
      <c r="R1" s="6"/>
      <c r="S1" s="8" t="s">
        <v>17</v>
      </c>
    </row>
    <row r="2">
      <c r="A2" s="25"/>
      <c r="B2" s="18"/>
      <c r="C2" s="5"/>
      <c r="D2" s="160"/>
      <c r="E2" s="6"/>
      <c r="F2" s="160"/>
      <c r="G2" s="5"/>
      <c r="H2" s="6"/>
      <c r="I2" s="138"/>
      <c r="K2" s="25"/>
      <c r="L2" s="18"/>
      <c r="M2" s="5"/>
      <c r="N2" s="160"/>
      <c r="O2" s="6"/>
      <c r="P2" s="160"/>
      <c r="Q2" s="5"/>
      <c r="R2" s="6"/>
      <c r="S2" s="138"/>
    </row>
    <row r="3">
      <c r="A3" s="14" t="s">
        <v>21</v>
      </c>
      <c r="B3" s="14" t="s">
        <v>22</v>
      </c>
      <c r="C3" s="14" t="s">
        <v>24</v>
      </c>
      <c r="D3" s="14" t="s">
        <v>0</v>
      </c>
      <c r="E3" s="18" t="s">
        <v>26</v>
      </c>
      <c r="F3" s="5"/>
      <c r="G3" s="5"/>
      <c r="H3" s="6"/>
      <c r="I3" s="15"/>
      <c r="K3" s="14" t="s">
        <v>21</v>
      </c>
      <c r="L3" s="14" t="s">
        <v>22</v>
      </c>
      <c r="M3" s="14" t="s">
        <v>24</v>
      </c>
      <c r="N3" s="14" t="s">
        <v>0</v>
      </c>
      <c r="O3" s="18" t="s">
        <v>26</v>
      </c>
      <c r="P3" s="5"/>
      <c r="Q3" s="5"/>
      <c r="R3" s="6"/>
      <c r="S3" s="15"/>
    </row>
    <row r="4">
      <c r="A4" s="15"/>
      <c r="B4" s="15"/>
      <c r="C4" s="15"/>
      <c r="D4" s="15"/>
      <c r="E4" s="25" t="s">
        <v>34</v>
      </c>
      <c r="F4" s="25" t="s">
        <v>35</v>
      </c>
      <c r="G4" s="25" t="s">
        <v>36</v>
      </c>
      <c r="H4" s="25" t="s">
        <v>37</v>
      </c>
      <c r="I4" s="29"/>
      <c r="K4" s="15"/>
      <c r="L4" s="15"/>
      <c r="M4" s="15"/>
      <c r="N4" s="15"/>
      <c r="O4" s="25" t="s">
        <v>34</v>
      </c>
      <c r="P4" s="25" t="s">
        <v>35</v>
      </c>
      <c r="Q4" s="25" t="s">
        <v>36</v>
      </c>
      <c r="R4" s="25" t="s">
        <v>37</v>
      </c>
      <c r="S4" s="29"/>
    </row>
    <row r="5">
      <c r="A5" s="31">
        <v>1.0</v>
      </c>
      <c r="B5" s="1" t="s">
        <v>327</v>
      </c>
      <c r="C5" s="1">
        <v>1.026205787E9</v>
      </c>
      <c r="D5" s="1" t="s">
        <v>15</v>
      </c>
      <c r="E5" s="42">
        <v>650.0</v>
      </c>
      <c r="F5" s="1">
        <v>650.0</v>
      </c>
      <c r="G5" s="46">
        <f t="shared" ref="G5:G42" si="1">E5-F5</f>
        <v>0</v>
      </c>
      <c r="H5" s="1"/>
      <c r="I5" s="29"/>
      <c r="K5" s="31">
        <v>1.0</v>
      </c>
      <c r="L5" s="1" t="s">
        <v>328</v>
      </c>
      <c r="M5" s="1">
        <v>1.00548868E9</v>
      </c>
      <c r="N5" s="1" t="s">
        <v>15</v>
      </c>
      <c r="O5" s="42">
        <v>650.0</v>
      </c>
      <c r="P5" s="1">
        <v>575.0</v>
      </c>
      <c r="Q5" s="46">
        <f t="shared" ref="Q5:Q42" si="2">O5-P5</f>
        <v>75</v>
      </c>
      <c r="R5" s="1" t="s">
        <v>345</v>
      </c>
      <c r="S5" s="29"/>
    </row>
    <row r="6">
      <c r="A6" s="31">
        <v>2.0</v>
      </c>
      <c r="B6" s="1" t="s">
        <v>321</v>
      </c>
      <c r="C6" s="1">
        <v>1.222339029E9</v>
      </c>
      <c r="D6" s="1" t="s">
        <v>15</v>
      </c>
      <c r="E6" s="42">
        <v>650.0</v>
      </c>
      <c r="F6" s="1">
        <v>650.0</v>
      </c>
      <c r="G6" s="46">
        <f t="shared" si="1"/>
        <v>0</v>
      </c>
      <c r="H6" s="1"/>
      <c r="I6" s="29"/>
      <c r="K6" s="31">
        <v>2.0</v>
      </c>
      <c r="L6" s="1" t="s">
        <v>330</v>
      </c>
      <c r="M6" s="26">
        <v>1.27100056E9</v>
      </c>
      <c r="N6" s="1" t="s">
        <v>15</v>
      </c>
      <c r="O6" s="42">
        <v>650.0</v>
      </c>
      <c r="P6" s="1">
        <v>650.0</v>
      </c>
      <c r="Q6" s="46">
        <f t="shared" si="2"/>
        <v>0</v>
      </c>
      <c r="R6" s="1"/>
      <c r="S6" s="29"/>
    </row>
    <row r="7">
      <c r="A7" s="31">
        <v>3.0</v>
      </c>
      <c r="B7" s="1"/>
      <c r="C7" s="37"/>
      <c r="D7" s="1"/>
      <c r="E7" s="42"/>
      <c r="F7" s="1"/>
      <c r="G7" s="46">
        <f t="shared" si="1"/>
        <v>0</v>
      </c>
      <c r="H7" s="1"/>
      <c r="I7" s="29"/>
      <c r="K7" s="31">
        <v>3.0</v>
      </c>
      <c r="L7" s="1" t="s">
        <v>336</v>
      </c>
      <c r="M7" s="1">
        <v>1.227447039E9</v>
      </c>
      <c r="N7" s="1" t="s">
        <v>15</v>
      </c>
      <c r="O7" s="42">
        <v>550.0</v>
      </c>
      <c r="P7" s="1">
        <v>500.0</v>
      </c>
      <c r="Q7" s="46">
        <f t="shared" si="2"/>
        <v>50</v>
      </c>
      <c r="R7" s="172" t="s">
        <v>346</v>
      </c>
      <c r="S7" s="29"/>
    </row>
    <row r="8">
      <c r="A8" s="31">
        <v>4.0</v>
      </c>
      <c r="B8" s="1"/>
      <c r="C8" s="37"/>
      <c r="D8" s="1"/>
      <c r="E8" s="42"/>
      <c r="F8" s="1"/>
      <c r="G8" s="46">
        <f t="shared" si="1"/>
        <v>0</v>
      </c>
      <c r="H8" s="1"/>
      <c r="I8" s="29"/>
      <c r="K8" s="31">
        <v>4.0</v>
      </c>
      <c r="L8" s="55" t="s">
        <v>339</v>
      </c>
      <c r="M8" s="1">
        <v>1.227754672E9</v>
      </c>
      <c r="N8" s="1" t="s">
        <v>15</v>
      </c>
      <c r="O8" s="42">
        <v>650.0</v>
      </c>
      <c r="P8" s="1">
        <v>650.0</v>
      </c>
      <c r="Q8" s="46">
        <f t="shared" si="2"/>
        <v>0</v>
      </c>
      <c r="R8" s="1"/>
      <c r="S8" s="29"/>
    </row>
    <row r="9">
      <c r="A9" s="31">
        <v>5.0</v>
      </c>
      <c r="B9" s="1"/>
      <c r="C9" s="37"/>
      <c r="D9" s="1"/>
      <c r="E9" s="42"/>
      <c r="F9" s="37"/>
      <c r="G9" s="46">
        <f t="shared" si="1"/>
        <v>0</v>
      </c>
      <c r="H9" s="1"/>
      <c r="I9" s="29"/>
      <c r="K9" s="31">
        <v>5.0</v>
      </c>
      <c r="L9" s="1" t="s">
        <v>347</v>
      </c>
      <c r="M9" s="1">
        <v>1.207301111E9</v>
      </c>
      <c r="N9" s="1" t="s">
        <v>15</v>
      </c>
      <c r="O9" s="42">
        <v>650.0</v>
      </c>
      <c r="P9" s="1">
        <v>650.0</v>
      </c>
      <c r="Q9" s="46">
        <f t="shared" si="2"/>
        <v>0</v>
      </c>
      <c r="R9" s="1"/>
      <c r="S9" s="29"/>
    </row>
    <row r="10">
      <c r="A10" s="31">
        <v>6.0</v>
      </c>
      <c r="B10" s="1"/>
      <c r="C10" s="37"/>
      <c r="D10" s="1"/>
      <c r="E10" s="42"/>
      <c r="F10" s="1"/>
      <c r="G10" s="46">
        <f t="shared" si="1"/>
        <v>0</v>
      </c>
      <c r="H10" s="1"/>
      <c r="I10" s="29"/>
      <c r="K10" s="31">
        <v>6.0</v>
      </c>
      <c r="L10" s="1"/>
      <c r="M10" s="1"/>
      <c r="N10" s="1"/>
      <c r="O10" s="42"/>
      <c r="P10" s="1"/>
      <c r="Q10" s="46">
        <f t="shared" si="2"/>
        <v>0</v>
      </c>
      <c r="R10" s="1"/>
      <c r="S10" s="29"/>
    </row>
    <row r="11">
      <c r="A11" s="31">
        <v>7.0</v>
      </c>
      <c r="B11" s="1"/>
      <c r="C11" s="37"/>
      <c r="D11" s="1"/>
      <c r="E11" s="42"/>
      <c r="F11" s="37"/>
      <c r="G11" s="46">
        <f t="shared" si="1"/>
        <v>0</v>
      </c>
      <c r="H11" s="1"/>
      <c r="I11" s="29"/>
      <c r="K11" s="31">
        <v>7.0</v>
      </c>
      <c r="L11" s="1"/>
      <c r="M11" s="37"/>
      <c r="N11" s="1"/>
      <c r="O11" s="42"/>
      <c r="P11" s="37"/>
      <c r="Q11" s="46">
        <f t="shared" si="2"/>
        <v>0</v>
      </c>
      <c r="R11" s="1"/>
      <c r="S11" s="29"/>
    </row>
    <row r="12">
      <c r="A12" s="31">
        <v>8.0</v>
      </c>
      <c r="B12" s="1"/>
      <c r="C12" s="37"/>
      <c r="D12" s="1"/>
      <c r="E12" s="42"/>
      <c r="F12" s="1"/>
      <c r="G12" s="46">
        <f t="shared" si="1"/>
        <v>0</v>
      </c>
      <c r="H12" s="1"/>
      <c r="I12" s="29"/>
      <c r="K12" s="31">
        <v>8.0</v>
      </c>
      <c r="L12" s="1"/>
      <c r="M12" s="37"/>
      <c r="N12" s="1"/>
      <c r="O12" s="42"/>
      <c r="P12" s="1"/>
      <c r="Q12" s="46">
        <f t="shared" si="2"/>
        <v>0</v>
      </c>
      <c r="R12" s="1"/>
      <c r="S12" s="29"/>
    </row>
    <row r="13">
      <c r="A13" s="31">
        <v>9.0</v>
      </c>
      <c r="B13" s="1"/>
      <c r="C13" s="37"/>
      <c r="D13" s="1"/>
      <c r="E13" s="42"/>
      <c r="F13" s="37"/>
      <c r="G13" s="46">
        <f t="shared" si="1"/>
        <v>0</v>
      </c>
      <c r="H13" s="37"/>
      <c r="I13" s="29"/>
      <c r="K13" s="31">
        <v>9.0</v>
      </c>
      <c r="L13" s="1"/>
      <c r="M13" s="37"/>
      <c r="N13" s="1"/>
      <c r="O13" s="42"/>
      <c r="P13" s="37"/>
      <c r="Q13" s="46">
        <f t="shared" si="2"/>
        <v>0</v>
      </c>
      <c r="R13" s="37"/>
      <c r="S13" s="29"/>
    </row>
    <row r="14">
      <c r="A14" s="31">
        <v>10.0</v>
      </c>
      <c r="B14" s="37"/>
      <c r="C14" s="37"/>
      <c r="D14" s="37"/>
      <c r="E14" s="42"/>
      <c r="F14" s="37"/>
      <c r="G14" s="46">
        <f t="shared" si="1"/>
        <v>0</v>
      </c>
      <c r="H14" s="37"/>
      <c r="I14" s="29"/>
      <c r="K14" s="31">
        <v>10.0</v>
      </c>
      <c r="L14" s="37"/>
      <c r="M14" s="37"/>
      <c r="N14" s="37"/>
      <c r="O14" s="42"/>
      <c r="P14" s="37"/>
      <c r="Q14" s="46">
        <f t="shared" si="2"/>
        <v>0</v>
      </c>
      <c r="R14" s="37"/>
      <c r="S14" s="29"/>
    </row>
    <row r="15">
      <c r="A15" s="31">
        <v>11.0</v>
      </c>
      <c r="B15" s="37"/>
      <c r="C15" s="37"/>
      <c r="D15" s="37"/>
      <c r="E15" s="42"/>
      <c r="F15" s="37"/>
      <c r="G15" s="46">
        <f t="shared" si="1"/>
        <v>0</v>
      </c>
      <c r="H15" s="37"/>
      <c r="I15" s="29"/>
      <c r="K15" s="31">
        <v>11.0</v>
      </c>
      <c r="L15" s="37"/>
      <c r="M15" s="37"/>
      <c r="N15" s="37"/>
      <c r="O15" s="42"/>
      <c r="P15" s="37"/>
      <c r="Q15" s="46">
        <f t="shared" si="2"/>
        <v>0</v>
      </c>
      <c r="R15" s="37"/>
      <c r="S15" s="29"/>
    </row>
    <row r="16">
      <c r="A16" s="31">
        <v>12.0</v>
      </c>
      <c r="B16" s="37"/>
      <c r="C16" s="37"/>
      <c r="D16" s="37"/>
      <c r="E16" s="42"/>
      <c r="F16" s="37"/>
      <c r="G16" s="46">
        <f t="shared" si="1"/>
        <v>0</v>
      </c>
      <c r="H16" s="37"/>
      <c r="I16" s="29"/>
      <c r="K16" s="31">
        <v>12.0</v>
      </c>
      <c r="L16" s="37"/>
      <c r="M16" s="37"/>
      <c r="N16" s="37"/>
      <c r="O16" s="42"/>
      <c r="P16" s="37"/>
      <c r="Q16" s="46">
        <f t="shared" si="2"/>
        <v>0</v>
      </c>
      <c r="R16" s="37"/>
      <c r="S16" s="29"/>
    </row>
    <row r="17">
      <c r="A17" s="31">
        <v>13.0</v>
      </c>
      <c r="B17" s="37"/>
      <c r="C17" s="37"/>
      <c r="D17" s="37"/>
      <c r="E17" s="42"/>
      <c r="F17" s="37"/>
      <c r="G17" s="46">
        <f t="shared" si="1"/>
        <v>0</v>
      </c>
      <c r="H17" s="37"/>
      <c r="I17" s="29"/>
      <c r="K17" s="31">
        <v>13.0</v>
      </c>
      <c r="L17" s="37"/>
      <c r="M17" s="37"/>
      <c r="N17" s="37"/>
      <c r="O17" s="42"/>
      <c r="P17" s="37"/>
      <c r="Q17" s="46">
        <f t="shared" si="2"/>
        <v>0</v>
      </c>
      <c r="R17" s="37"/>
      <c r="S17" s="29"/>
    </row>
    <row r="18">
      <c r="A18" s="31">
        <v>14.0</v>
      </c>
      <c r="B18" s="37"/>
      <c r="C18" s="37"/>
      <c r="D18" s="37"/>
      <c r="E18" s="42"/>
      <c r="F18" s="37"/>
      <c r="G18" s="46">
        <f t="shared" si="1"/>
        <v>0</v>
      </c>
      <c r="H18" s="37"/>
      <c r="I18" s="29"/>
      <c r="K18" s="31">
        <v>14.0</v>
      </c>
      <c r="L18" s="37"/>
      <c r="M18" s="37"/>
      <c r="N18" s="37"/>
      <c r="O18" s="42"/>
      <c r="P18" s="37"/>
      <c r="Q18" s="46">
        <f t="shared" si="2"/>
        <v>0</v>
      </c>
      <c r="R18" s="37"/>
      <c r="S18" s="29"/>
    </row>
    <row r="19">
      <c r="A19" s="31">
        <v>15.0</v>
      </c>
      <c r="B19" s="37"/>
      <c r="C19" s="37"/>
      <c r="D19" s="37"/>
      <c r="E19" s="42"/>
      <c r="F19" s="37"/>
      <c r="G19" s="46">
        <f t="shared" si="1"/>
        <v>0</v>
      </c>
      <c r="H19" s="37"/>
      <c r="I19" s="29"/>
      <c r="K19" s="31">
        <v>15.0</v>
      </c>
      <c r="L19" s="37"/>
      <c r="M19" s="37"/>
      <c r="N19" s="37"/>
      <c r="O19" s="42"/>
      <c r="P19" s="37"/>
      <c r="Q19" s="46">
        <f t="shared" si="2"/>
        <v>0</v>
      </c>
      <c r="R19" s="37"/>
      <c r="S19" s="29"/>
    </row>
    <row r="20">
      <c r="A20" s="31">
        <v>16.0</v>
      </c>
      <c r="B20" s="37"/>
      <c r="C20" s="37"/>
      <c r="D20" s="37"/>
      <c r="E20" s="42"/>
      <c r="F20" s="37"/>
      <c r="G20" s="46">
        <f t="shared" si="1"/>
        <v>0</v>
      </c>
      <c r="H20" s="37"/>
      <c r="I20" s="29"/>
      <c r="K20" s="31">
        <v>16.0</v>
      </c>
      <c r="L20" s="37"/>
      <c r="M20" s="37"/>
      <c r="N20" s="37"/>
      <c r="O20" s="42"/>
      <c r="P20" s="37"/>
      <c r="Q20" s="46">
        <f t="shared" si="2"/>
        <v>0</v>
      </c>
      <c r="R20" s="37"/>
      <c r="S20" s="29"/>
    </row>
    <row r="21">
      <c r="A21" s="31">
        <v>17.0</v>
      </c>
      <c r="B21" s="37"/>
      <c r="C21" s="37"/>
      <c r="D21" s="37"/>
      <c r="E21" s="42"/>
      <c r="F21" s="37"/>
      <c r="G21" s="46">
        <f t="shared" si="1"/>
        <v>0</v>
      </c>
      <c r="H21" s="37"/>
      <c r="I21" s="29"/>
      <c r="K21" s="31">
        <v>17.0</v>
      </c>
      <c r="L21" s="37"/>
      <c r="M21" s="37"/>
      <c r="N21" s="37"/>
      <c r="O21" s="42"/>
      <c r="P21" s="37"/>
      <c r="Q21" s="46">
        <f t="shared" si="2"/>
        <v>0</v>
      </c>
      <c r="R21" s="37"/>
      <c r="S21" s="29"/>
    </row>
    <row r="22">
      <c r="A22" s="31">
        <v>18.0</v>
      </c>
      <c r="B22" s="37"/>
      <c r="C22" s="37"/>
      <c r="D22" s="37"/>
      <c r="E22" s="42"/>
      <c r="F22" s="37"/>
      <c r="G22" s="46">
        <f t="shared" si="1"/>
        <v>0</v>
      </c>
      <c r="H22" s="37"/>
      <c r="I22" s="29"/>
      <c r="K22" s="31">
        <v>18.0</v>
      </c>
      <c r="L22" s="37"/>
      <c r="M22" s="37"/>
      <c r="N22" s="37"/>
      <c r="O22" s="42"/>
      <c r="P22" s="37"/>
      <c r="Q22" s="46">
        <f t="shared" si="2"/>
        <v>0</v>
      </c>
      <c r="R22" s="37"/>
      <c r="S22" s="29"/>
    </row>
    <row r="23">
      <c r="A23" s="31">
        <v>19.0</v>
      </c>
      <c r="B23" s="37"/>
      <c r="C23" s="37"/>
      <c r="D23" s="37"/>
      <c r="E23" s="42"/>
      <c r="F23" s="37"/>
      <c r="G23" s="46">
        <f t="shared" si="1"/>
        <v>0</v>
      </c>
      <c r="H23" s="37"/>
      <c r="I23" s="29"/>
      <c r="K23" s="31">
        <v>19.0</v>
      </c>
      <c r="L23" s="37"/>
      <c r="M23" s="37"/>
      <c r="N23" s="37"/>
      <c r="O23" s="42"/>
      <c r="P23" s="37"/>
      <c r="Q23" s="46">
        <f t="shared" si="2"/>
        <v>0</v>
      </c>
      <c r="R23" s="37"/>
      <c r="S23" s="29"/>
    </row>
    <row r="24">
      <c r="A24" s="31">
        <v>20.0</v>
      </c>
      <c r="B24" s="37"/>
      <c r="C24" s="37"/>
      <c r="D24" s="37"/>
      <c r="E24" s="42"/>
      <c r="F24" s="37"/>
      <c r="G24" s="46">
        <f t="shared" si="1"/>
        <v>0</v>
      </c>
      <c r="H24" s="37"/>
      <c r="I24" s="29"/>
      <c r="K24" s="31">
        <v>20.0</v>
      </c>
      <c r="L24" s="37"/>
      <c r="M24" s="37"/>
      <c r="N24" s="37"/>
      <c r="O24" s="42"/>
      <c r="P24" s="37"/>
      <c r="Q24" s="46">
        <f t="shared" si="2"/>
        <v>0</v>
      </c>
      <c r="R24" s="37"/>
      <c r="S24" s="29"/>
    </row>
    <row r="25">
      <c r="A25" s="31">
        <v>21.0</v>
      </c>
      <c r="B25" s="37"/>
      <c r="C25" s="37"/>
      <c r="D25" s="37"/>
      <c r="E25" s="42"/>
      <c r="F25" s="37"/>
      <c r="G25" s="46">
        <f t="shared" si="1"/>
        <v>0</v>
      </c>
      <c r="H25" s="37"/>
      <c r="I25" s="29"/>
      <c r="K25" s="31">
        <v>21.0</v>
      </c>
      <c r="L25" s="37"/>
      <c r="M25" s="37"/>
      <c r="N25" s="37"/>
      <c r="O25" s="42"/>
      <c r="P25" s="37"/>
      <c r="Q25" s="46">
        <f t="shared" si="2"/>
        <v>0</v>
      </c>
      <c r="R25" s="37"/>
      <c r="S25" s="29"/>
    </row>
    <row r="26">
      <c r="A26" s="31">
        <v>22.0</v>
      </c>
      <c r="B26" s="37"/>
      <c r="C26" s="37"/>
      <c r="D26" s="37"/>
      <c r="E26" s="42"/>
      <c r="F26" s="37"/>
      <c r="G26" s="46">
        <f t="shared" si="1"/>
        <v>0</v>
      </c>
      <c r="H26" s="37"/>
      <c r="I26" s="29"/>
      <c r="K26" s="31">
        <v>22.0</v>
      </c>
      <c r="L26" s="37"/>
      <c r="M26" s="37"/>
      <c r="N26" s="37"/>
      <c r="O26" s="42"/>
      <c r="P26" s="37"/>
      <c r="Q26" s="46">
        <f t="shared" si="2"/>
        <v>0</v>
      </c>
      <c r="R26" s="37"/>
      <c r="S26" s="29"/>
    </row>
    <row r="27">
      <c r="A27" s="31">
        <v>23.0</v>
      </c>
      <c r="B27" s="37"/>
      <c r="C27" s="37"/>
      <c r="D27" s="37"/>
      <c r="E27" s="42"/>
      <c r="F27" s="37"/>
      <c r="G27" s="46">
        <f t="shared" si="1"/>
        <v>0</v>
      </c>
      <c r="H27" s="37"/>
      <c r="I27" s="29"/>
      <c r="K27" s="31">
        <v>23.0</v>
      </c>
      <c r="L27" s="37"/>
      <c r="M27" s="37"/>
      <c r="N27" s="37"/>
      <c r="O27" s="42"/>
      <c r="P27" s="37"/>
      <c r="Q27" s="46">
        <f t="shared" si="2"/>
        <v>0</v>
      </c>
      <c r="R27" s="37"/>
      <c r="S27" s="29"/>
    </row>
    <row r="28">
      <c r="A28" s="31">
        <v>24.0</v>
      </c>
      <c r="B28" s="37"/>
      <c r="C28" s="37"/>
      <c r="D28" s="37"/>
      <c r="E28" s="42"/>
      <c r="F28" s="37"/>
      <c r="G28" s="46">
        <f t="shared" si="1"/>
        <v>0</v>
      </c>
      <c r="H28" s="37"/>
      <c r="I28" s="29"/>
      <c r="K28" s="31">
        <v>24.0</v>
      </c>
      <c r="L28" s="37"/>
      <c r="M28" s="37"/>
      <c r="N28" s="37"/>
      <c r="O28" s="42"/>
      <c r="P28" s="37"/>
      <c r="Q28" s="46">
        <f t="shared" si="2"/>
        <v>0</v>
      </c>
      <c r="R28" s="37"/>
      <c r="S28" s="29"/>
    </row>
    <row r="29">
      <c r="A29" s="31">
        <v>25.0</v>
      </c>
      <c r="B29" s="37"/>
      <c r="C29" s="37"/>
      <c r="D29" s="37"/>
      <c r="E29" s="42"/>
      <c r="F29" s="37"/>
      <c r="G29" s="46">
        <f t="shared" si="1"/>
        <v>0</v>
      </c>
      <c r="H29" s="37"/>
      <c r="I29" s="29"/>
      <c r="K29" s="31">
        <v>25.0</v>
      </c>
      <c r="L29" s="37"/>
      <c r="M29" s="37"/>
      <c r="N29" s="37"/>
      <c r="O29" s="42"/>
      <c r="P29" s="37"/>
      <c r="Q29" s="46">
        <f t="shared" si="2"/>
        <v>0</v>
      </c>
      <c r="R29" s="37"/>
      <c r="S29" s="29"/>
    </row>
    <row r="30">
      <c r="A30" s="31">
        <v>26.0</v>
      </c>
      <c r="B30" s="37"/>
      <c r="C30" s="37"/>
      <c r="D30" s="37"/>
      <c r="E30" s="42"/>
      <c r="F30" s="37"/>
      <c r="G30" s="46">
        <f t="shared" si="1"/>
        <v>0</v>
      </c>
      <c r="H30" s="37"/>
      <c r="I30" s="29"/>
      <c r="K30" s="31">
        <v>26.0</v>
      </c>
      <c r="L30" s="37"/>
      <c r="M30" s="37"/>
      <c r="N30" s="37"/>
      <c r="O30" s="42"/>
      <c r="P30" s="37"/>
      <c r="Q30" s="46">
        <f t="shared" si="2"/>
        <v>0</v>
      </c>
      <c r="R30" s="37"/>
      <c r="S30" s="29"/>
    </row>
    <row r="31">
      <c r="A31" s="31">
        <v>27.0</v>
      </c>
      <c r="B31" s="37"/>
      <c r="C31" s="37"/>
      <c r="D31" s="37"/>
      <c r="E31" s="42"/>
      <c r="F31" s="37"/>
      <c r="G31" s="46">
        <f t="shared" si="1"/>
        <v>0</v>
      </c>
      <c r="H31" s="37"/>
      <c r="I31" s="29"/>
      <c r="K31" s="31">
        <v>27.0</v>
      </c>
      <c r="L31" s="37"/>
      <c r="M31" s="37"/>
      <c r="N31" s="37"/>
      <c r="O31" s="42"/>
      <c r="P31" s="37"/>
      <c r="Q31" s="46">
        <f t="shared" si="2"/>
        <v>0</v>
      </c>
      <c r="R31" s="37"/>
      <c r="S31" s="29"/>
    </row>
    <row r="32">
      <c r="A32" s="31">
        <v>28.0</v>
      </c>
      <c r="B32" s="37"/>
      <c r="C32" s="37"/>
      <c r="D32" s="37"/>
      <c r="E32" s="42"/>
      <c r="F32" s="37"/>
      <c r="G32" s="46">
        <f t="shared" si="1"/>
        <v>0</v>
      </c>
      <c r="H32" s="37"/>
      <c r="I32" s="29"/>
      <c r="K32" s="31">
        <v>28.0</v>
      </c>
      <c r="L32" s="37"/>
      <c r="M32" s="37"/>
      <c r="N32" s="37"/>
      <c r="O32" s="42"/>
      <c r="P32" s="37"/>
      <c r="Q32" s="46">
        <f t="shared" si="2"/>
        <v>0</v>
      </c>
      <c r="R32" s="37"/>
      <c r="S32" s="29"/>
    </row>
    <row r="33">
      <c r="A33" s="31">
        <v>29.0</v>
      </c>
      <c r="B33" s="37"/>
      <c r="C33" s="37"/>
      <c r="D33" s="37"/>
      <c r="E33" s="42"/>
      <c r="F33" s="37"/>
      <c r="G33" s="46">
        <f t="shared" si="1"/>
        <v>0</v>
      </c>
      <c r="H33" s="37"/>
      <c r="I33" s="29"/>
      <c r="K33" s="31">
        <v>29.0</v>
      </c>
      <c r="L33" s="37"/>
      <c r="M33" s="37"/>
      <c r="N33" s="37"/>
      <c r="O33" s="42"/>
      <c r="P33" s="37"/>
      <c r="Q33" s="46">
        <f t="shared" si="2"/>
        <v>0</v>
      </c>
      <c r="R33" s="37"/>
      <c r="S33" s="29"/>
    </row>
    <row r="34">
      <c r="A34" s="31">
        <v>30.0</v>
      </c>
      <c r="B34" s="37"/>
      <c r="C34" s="37"/>
      <c r="D34" s="37"/>
      <c r="E34" s="42"/>
      <c r="F34" s="37"/>
      <c r="G34" s="46">
        <f t="shared" si="1"/>
        <v>0</v>
      </c>
      <c r="H34" s="37"/>
      <c r="I34" s="29"/>
      <c r="K34" s="31">
        <v>30.0</v>
      </c>
      <c r="L34" s="37"/>
      <c r="M34" s="37"/>
      <c r="N34" s="37"/>
      <c r="O34" s="42"/>
      <c r="P34" s="37"/>
      <c r="Q34" s="46">
        <f t="shared" si="2"/>
        <v>0</v>
      </c>
      <c r="R34" s="37"/>
      <c r="S34" s="29"/>
    </row>
    <row r="35">
      <c r="A35" s="31">
        <v>31.0</v>
      </c>
      <c r="B35" s="37"/>
      <c r="C35" s="37"/>
      <c r="D35" s="37"/>
      <c r="E35" s="42"/>
      <c r="F35" s="37"/>
      <c r="G35" s="46">
        <f t="shared" si="1"/>
        <v>0</v>
      </c>
      <c r="H35" s="37"/>
      <c r="I35" s="29"/>
      <c r="K35" s="31">
        <v>31.0</v>
      </c>
      <c r="L35" s="37"/>
      <c r="M35" s="37"/>
      <c r="N35" s="37"/>
      <c r="O35" s="42"/>
      <c r="P35" s="37"/>
      <c r="Q35" s="46">
        <f t="shared" si="2"/>
        <v>0</v>
      </c>
      <c r="R35" s="37"/>
      <c r="S35" s="29"/>
    </row>
    <row r="36">
      <c r="A36" s="31">
        <v>32.0</v>
      </c>
      <c r="B36" s="37"/>
      <c r="C36" s="37"/>
      <c r="D36" s="37"/>
      <c r="E36" s="42"/>
      <c r="F36" s="37"/>
      <c r="G36" s="46">
        <f t="shared" si="1"/>
        <v>0</v>
      </c>
      <c r="H36" s="37"/>
      <c r="I36" s="29"/>
      <c r="K36" s="31">
        <v>32.0</v>
      </c>
      <c r="L36" s="37"/>
      <c r="M36" s="37"/>
      <c r="N36" s="37"/>
      <c r="O36" s="42"/>
      <c r="P36" s="37"/>
      <c r="Q36" s="46">
        <f t="shared" si="2"/>
        <v>0</v>
      </c>
      <c r="R36" s="37"/>
      <c r="S36" s="29"/>
    </row>
    <row r="37">
      <c r="A37" s="31">
        <v>33.0</v>
      </c>
      <c r="B37" s="37"/>
      <c r="C37" s="37"/>
      <c r="D37" s="37"/>
      <c r="E37" s="42"/>
      <c r="F37" s="37"/>
      <c r="G37" s="46">
        <f t="shared" si="1"/>
        <v>0</v>
      </c>
      <c r="H37" s="37"/>
      <c r="I37" s="29"/>
      <c r="K37" s="31">
        <v>33.0</v>
      </c>
      <c r="L37" s="37"/>
      <c r="M37" s="37"/>
      <c r="N37" s="37"/>
      <c r="O37" s="42"/>
      <c r="P37" s="37"/>
      <c r="Q37" s="46">
        <f t="shared" si="2"/>
        <v>0</v>
      </c>
      <c r="R37" s="37"/>
      <c r="S37" s="29"/>
    </row>
    <row r="38">
      <c r="A38" s="31">
        <v>34.0</v>
      </c>
      <c r="B38" s="37"/>
      <c r="C38" s="37"/>
      <c r="D38" s="37"/>
      <c r="E38" s="42"/>
      <c r="F38" s="37"/>
      <c r="G38" s="46">
        <f t="shared" si="1"/>
        <v>0</v>
      </c>
      <c r="H38" s="37"/>
      <c r="I38" s="29"/>
      <c r="K38" s="31">
        <v>34.0</v>
      </c>
      <c r="L38" s="37"/>
      <c r="M38" s="37"/>
      <c r="N38" s="37"/>
      <c r="O38" s="42"/>
      <c r="P38" s="37"/>
      <c r="Q38" s="46">
        <f t="shared" si="2"/>
        <v>0</v>
      </c>
      <c r="R38" s="37"/>
      <c r="S38" s="29"/>
    </row>
    <row r="39">
      <c r="A39" s="31">
        <v>35.0</v>
      </c>
      <c r="B39" s="37"/>
      <c r="C39" s="37"/>
      <c r="D39" s="37"/>
      <c r="E39" s="42"/>
      <c r="F39" s="37"/>
      <c r="G39" s="46">
        <f t="shared" si="1"/>
        <v>0</v>
      </c>
      <c r="H39" s="37"/>
      <c r="I39" s="29"/>
      <c r="K39" s="31">
        <v>35.0</v>
      </c>
      <c r="L39" s="37"/>
      <c r="M39" s="37"/>
      <c r="N39" s="37"/>
      <c r="O39" s="42"/>
      <c r="P39" s="37"/>
      <c r="Q39" s="46">
        <f t="shared" si="2"/>
        <v>0</v>
      </c>
      <c r="R39" s="37"/>
      <c r="S39" s="29"/>
    </row>
    <row r="40">
      <c r="A40" s="31">
        <v>36.0</v>
      </c>
      <c r="B40" s="37"/>
      <c r="C40" s="37"/>
      <c r="D40" s="37"/>
      <c r="E40" s="42"/>
      <c r="F40" s="37"/>
      <c r="G40" s="46">
        <f t="shared" si="1"/>
        <v>0</v>
      </c>
      <c r="H40" s="37"/>
      <c r="I40" s="29"/>
      <c r="K40" s="31">
        <v>36.0</v>
      </c>
      <c r="L40" s="37"/>
      <c r="M40" s="37"/>
      <c r="N40" s="37"/>
      <c r="O40" s="42"/>
      <c r="P40" s="37"/>
      <c r="Q40" s="46">
        <f t="shared" si="2"/>
        <v>0</v>
      </c>
      <c r="R40" s="37"/>
      <c r="S40" s="29"/>
    </row>
    <row r="41">
      <c r="A41" s="31">
        <v>37.0</v>
      </c>
      <c r="B41" s="37"/>
      <c r="C41" s="37"/>
      <c r="D41" s="37"/>
      <c r="E41" s="42"/>
      <c r="F41" s="37"/>
      <c r="G41" s="46">
        <f t="shared" si="1"/>
        <v>0</v>
      </c>
      <c r="H41" s="37"/>
      <c r="I41" s="29"/>
      <c r="K41" s="31">
        <v>37.0</v>
      </c>
      <c r="L41" s="37"/>
      <c r="M41" s="37"/>
      <c r="N41" s="37"/>
      <c r="O41" s="42"/>
      <c r="P41" s="37"/>
      <c r="Q41" s="46">
        <f t="shared" si="2"/>
        <v>0</v>
      </c>
      <c r="R41" s="37"/>
      <c r="S41" s="29"/>
    </row>
    <row r="42">
      <c r="A42" s="31">
        <v>38.0</v>
      </c>
      <c r="B42" s="37"/>
      <c r="C42" s="37"/>
      <c r="D42" s="37"/>
      <c r="E42" s="42"/>
      <c r="F42" s="37"/>
      <c r="G42" s="46">
        <f t="shared" si="1"/>
        <v>0</v>
      </c>
      <c r="H42" s="37"/>
      <c r="I42" s="29"/>
      <c r="K42" s="31">
        <v>38.0</v>
      </c>
      <c r="L42" s="37"/>
      <c r="M42" s="37"/>
      <c r="N42" s="37"/>
      <c r="O42" s="42"/>
      <c r="P42" s="37"/>
      <c r="Q42" s="46">
        <f t="shared" si="2"/>
        <v>0</v>
      </c>
      <c r="R42" s="37"/>
      <c r="S42" s="29"/>
    </row>
    <row r="43">
      <c r="A43" s="1" t="s">
        <v>28</v>
      </c>
      <c r="B43" s="40">
        <f>countif(B4:B42,"*")</f>
        <v>2</v>
      </c>
      <c r="C43" s="37"/>
      <c r="D43" s="37"/>
      <c r="E43" s="37"/>
      <c r="F43" s="37"/>
      <c r="G43" s="37"/>
      <c r="H43" s="37"/>
      <c r="I43" s="37"/>
      <c r="K43" s="1" t="s">
        <v>28</v>
      </c>
      <c r="L43" s="40">
        <f>countif(L4:L42,"*")</f>
        <v>5</v>
      </c>
      <c r="M43" s="37"/>
      <c r="N43" s="37"/>
      <c r="O43" s="37"/>
      <c r="P43" s="37"/>
      <c r="Q43" s="37"/>
      <c r="R43" s="37"/>
      <c r="S43" s="37"/>
    </row>
  </sheetData>
  <mergeCells count="20">
    <mergeCell ref="L2:M2"/>
    <mergeCell ref="N2:O2"/>
    <mergeCell ref="K3:K4"/>
    <mergeCell ref="L3:L4"/>
    <mergeCell ref="M3:M4"/>
    <mergeCell ref="N3:N4"/>
    <mergeCell ref="B2:C2"/>
    <mergeCell ref="A3:A4"/>
    <mergeCell ref="B3:B4"/>
    <mergeCell ref="C3:C4"/>
    <mergeCell ref="D3:D4"/>
    <mergeCell ref="P2:R2"/>
    <mergeCell ref="O3:R3"/>
    <mergeCell ref="A1:H1"/>
    <mergeCell ref="I1:I3"/>
    <mergeCell ref="K1:R1"/>
    <mergeCell ref="S1:S3"/>
    <mergeCell ref="D2:E2"/>
    <mergeCell ref="F2:H2"/>
    <mergeCell ref="E3:H3"/>
  </mergeCells>
  <dataValidations>
    <dataValidation type="list" allowBlank="1" sqref="D5:D42 N5:N42">
      <formula1>Data!$A$2:$A$12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4" max="4" width="7.38"/>
    <col customWidth="1" min="5" max="5" width="10.13"/>
    <col customWidth="1" min="6" max="7" width="7.38"/>
    <col customWidth="1" min="8" max="8" width="25.25"/>
    <col customWidth="1" min="11" max="11" width="5.0"/>
  </cols>
  <sheetData>
    <row r="1">
      <c r="A1" s="3" t="s">
        <v>348</v>
      </c>
      <c r="B1" s="5"/>
      <c r="C1" s="5"/>
      <c r="D1" s="5"/>
      <c r="E1" s="5"/>
      <c r="F1" s="5"/>
      <c r="G1" s="5"/>
      <c r="H1" s="6"/>
      <c r="I1" s="8" t="s">
        <v>17</v>
      </c>
      <c r="K1" s="3" t="s">
        <v>349</v>
      </c>
      <c r="L1" s="5"/>
      <c r="M1" s="5"/>
      <c r="N1" s="5"/>
      <c r="O1" s="5"/>
      <c r="P1" s="5"/>
      <c r="Q1" s="5"/>
      <c r="R1" s="6"/>
      <c r="S1" s="8" t="s">
        <v>17</v>
      </c>
    </row>
    <row r="2">
      <c r="A2" s="25"/>
      <c r="B2" s="18"/>
      <c r="C2" s="5"/>
      <c r="D2" s="160"/>
      <c r="E2" s="6"/>
      <c r="F2" s="160"/>
      <c r="G2" s="5"/>
      <c r="H2" s="6"/>
      <c r="I2" s="138"/>
      <c r="K2" s="25"/>
      <c r="L2" s="18"/>
      <c r="M2" s="5"/>
      <c r="N2" s="160"/>
      <c r="O2" s="6"/>
      <c r="P2" s="160"/>
      <c r="Q2" s="5"/>
      <c r="R2" s="6"/>
      <c r="S2" s="138"/>
    </row>
    <row r="3">
      <c r="A3" s="14" t="s">
        <v>21</v>
      </c>
      <c r="B3" s="14" t="s">
        <v>22</v>
      </c>
      <c r="C3" s="14" t="s">
        <v>24</v>
      </c>
      <c r="D3" s="14" t="s">
        <v>0</v>
      </c>
      <c r="E3" s="18" t="s">
        <v>26</v>
      </c>
      <c r="F3" s="5"/>
      <c r="G3" s="5"/>
      <c r="H3" s="6"/>
      <c r="I3" s="15"/>
      <c r="K3" s="14" t="s">
        <v>21</v>
      </c>
      <c r="L3" s="14" t="s">
        <v>22</v>
      </c>
      <c r="M3" s="14" t="s">
        <v>24</v>
      </c>
      <c r="N3" s="14" t="s">
        <v>0</v>
      </c>
      <c r="O3" s="18" t="s">
        <v>26</v>
      </c>
      <c r="P3" s="5"/>
      <c r="Q3" s="5"/>
      <c r="R3" s="6"/>
      <c r="S3" s="15"/>
    </row>
    <row r="4">
      <c r="A4" s="15"/>
      <c r="B4" s="15"/>
      <c r="C4" s="15"/>
      <c r="D4" s="15"/>
      <c r="E4" s="25" t="s">
        <v>34</v>
      </c>
      <c r="F4" s="25" t="s">
        <v>35</v>
      </c>
      <c r="G4" s="25" t="s">
        <v>36</v>
      </c>
      <c r="H4" s="25" t="s">
        <v>37</v>
      </c>
      <c r="I4" s="29"/>
      <c r="K4" s="15"/>
      <c r="L4" s="15"/>
      <c r="M4" s="15"/>
      <c r="N4" s="15"/>
      <c r="O4" s="25" t="s">
        <v>34</v>
      </c>
      <c r="P4" s="25" t="s">
        <v>35</v>
      </c>
      <c r="Q4" s="25" t="s">
        <v>36</v>
      </c>
      <c r="R4" s="25" t="s">
        <v>37</v>
      </c>
      <c r="S4" s="29"/>
    </row>
    <row r="5">
      <c r="A5" s="31">
        <v>1.0</v>
      </c>
      <c r="B5" s="1" t="s">
        <v>350</v>
      </c>
      <c r="C5" s="1"/>
      <c r="D5" s="1" t="s">
        <v>6</v>
      </c>
      <c r="E5" s="42"/>
      <c r="F5" s="1"/>
      <c r="G5" s="46">
        <f t="shared" ref="G5:G42" si="1">E5-F5</f>
        <v>0</v>
      </c>
      <c r="H5" s="1"/>
      <c r="I5" s="48" t="s">
        <v>351</v>
      </c>
      <c r="K5" s="31">
        <v>1.0</v>
      </c>
      <c r="L5" s="1"/>
      <c r="M5" s="1"/>
      <c r="N5" s="1"/>
      <c r="O5" s="42"/>
      <c r="P5" s="1"/>
      <c r="Q5" s="46">
        <f t="shared" ref="Q5:Q42" si="2">O5-P5</f>
        <v>0</v>
      </c>
      <c r="R5" s="1"/>
      <c r="S5" s="29"/>
    </row>
    <row r="6">
      <c r="A6" s="31">
        <v>2.0</v>
      </c>
      <c r="B6" s="1" t="s">
        <v>352</v>
      </c>
      <c r="C6" s="37"/>
      <c r="D6" s="1" t="s">
        <v>6</v>
      </c>
      <c r="E6" s="42"/>
      <c r="F6" s="37"/>
      <c r="G6" s="46">
        <f t="shared" si="1"/>
        <v>0</v>
      </c>
      <c r="H6" s="1"/>
      <c r="I6" s="48" t="s">
        <v>351</v>
      </c>
      <c r="K6" s="31">
        <v>2.0</v>
      </c>
      <c r="L6" s="1"/>
      <c r="M6" s="37"/>
      <c r="N6" s="1"/>
      <c r="O6" s="42"/>
      <c r="P6" s="37"/>
      <c r="Q6" s="46">
        <f t="shared" si="2"/>
        <v>0</v>
      </c>
      <c r="R6" s="1"/>
      <c r="S6" s="29"/>
    </row>
    <row r="7">
      <c r="A7" s="31">
        <v>3.0</v>
      </c>
      <c r="B7" s="1" t="s">
        <v>353</v>
      </c>
      <c r="C7" s="37"/>
      <c r="D7" s="1" t="s">
        <v>6</v>
      </c>
      <c r="E7" s="42"/>
      <c r="F7" s="1"/>
      <c r="G7" s="46">
        <f t="shared" si="1"/>
        <v>0</v>
      </c>
      <c r="H7" s="1"/>
      <c r="I7" s="48" t="s">
        <v>354</v>
      </c>
      <c r="K7" s="31">
        <v>3.0</v>
      </c>
      <c r="L7" s="1"/>
      <c r="M7" s="37"/>
      <c r="N7" s="1"/>
      <c r="O7" s="42"/>
      <c r="P7" s="1"/>
      <c r="Q7" s="46">
        <f t="shared" si="2"/>
        <v>0</v>
      </c>
      <c r="R7" s="1"/>
      <c r="S7" s="29"/>
    </row>
    <row r="8">
      <c r="A8" s="31">
        <v>4.0</v>
      </c>
      <c r="B8" s="1" t="s">
        <v>355</v>
      </c>
      <c r="C8" s="37"/>
      <c r="D8" s="1" t="s">
        <v>13</v>
      </c>
      <c r="E8" s="42"/>
      <c r="F8" s="1"/>
      <c r="G8" s="46">
        <f t="shared" si="1"/>
        <v>0</v>
      </c>
      <c r="H8" s="1"/>
      <c r="I8" s="29"/>
      <c r="K8" s="31">
        <v>4.0</v>
      </c>
      <c r="L8" s="1"/>
      <c r="M8" s="37"/>
      <c r="N8" s="1"/>
      <c r="O8" s="42"/>
      <c r="P8" s="1"/>
      <c r="Q8" s="46">
        <f t="shared" si="2"/>
        <v>0</v>
      </c>
      <c r="R8" s="1"/>
      <c r="S8" s="29"/>
    </row>
    <row r="9">
      <c r="A9" s="31">
        <v>5.0</v>
      </c>
      <c r="B9" s="1" t="s">
        <v>356</v>
      </c>
      <c r="C9" s="37"/>
      <c r="D9" s="1" t="s">
        <v>13</v>
      </c>
      <c r="E9" s="42"/>
      <c r="F9" s="37"/>
      <c r="G9" s="46">
        <f t="shared" si="1"/>
        <v>0</v>
      </c>
      <c r="H9" s="1"/>
      <c r="I9" s="29"/>
      <c r="K9" s="31">
        <v>5.0</v>
      </c>
      <c r="L9" s="1"/>
      <c r="M9" s="37"/>
      <c r="N9" s="1"/>
      <c r="O9" s="42"/>
      <c r="P9" s="37"/>
      <c r="Q9" s="46">
        <f t="shared" si="2"/>
        <v>0</v>
      </c>
      <c r="R9" s="1"/>
      <c r="S9" s="29"/>
    </row>
    <row r="10">
      <c r="A10" s="31">
        <v>6.0</v>
      </c>
      <c r="B10" s="1" t="s">
        <v>357</v>
      </c>
      <c r="C10" s="37"/>
      <c r="D10" s="1" t="s">
        <v>6</v>
      </c>
      <c r="E10" s="42"/>
      <c r="F10" s="1"/>
      <c r="G10" s="46">
        <f t="shared" si="1"/>
        <v>0</v>
      </c>
      <c r="H10" s="1"/>
      <c r="I10" s="48" t="s">
        <v>351</v>
      </c>
      <c r="K10" s="31">
        <v>6.0</v>
      </c>
      <c r="L10" s="1"/>
      <c r="M10" s="37"/>
      <c r="N10" s="1"/>
      <c r="O10" s="42"/>
      <c r="P10" s="1"/>
      <c r="Q10" s="46">
        <f t="shared" si="2"/>
        <v>0</v>
      </c>
      <c r="R10" s="1"/>
      <c r="S10" s="29"/>
    </row>
    <row r="11">
      <c r="A11" s="31">
        <v>7.0</v>
      </c>
      <c r="B11" s="1" t="s">
        <v>233</v>
      </c>
      <c r="C11" s="37"/>
      <c r="D11" s="1"/>
      <c r="E11" s="42"/>
      <c r="F11" s="37"/>
      <c r="G11" s="46">
        <f t="shared" si="1"/>
        <v>0</v>
      </c>
      <c r="H11" s="1"/>
      <c r="I11" s="29"/>
      <c r="K11" s="31">
        <v>7.0</v>
      </c>
      <c r="L11" s="1"/>
      <c r="M11" s="37"/>
      <c r="N11" s="1"/>
      <c r="O11" s="42"/>
      <c r="P11" s="37"/>
      <c r="Q11" s="46">
        <f t="shared" si="2"/>
        <v>0</v>
      </c>
      <c r="R11" s="1"/>
      <c r="S11" s="29"/>
    </row>
    <row r="12">
      <c r="A12" s="31">
        <v>8.0</v>
      </c>
      <c r="B12" s="1"/>
      <c r="C12" s="37"/>
      <c r="D12" s="1"/>
      <c r="E12" s="42"/>
      <c r="F12" s="1"/>
      <c r="G12" s="46">
        <f t="shared" si="1"/>
        <v>0</v>
      </c>
      <c r="H12" s="1"/>
      <c r="I12" s="29"/>
      <c r="K12" s="31">
        <v>8.0</v>
      </c>
      <c r="L12" s="1"/>
      <c r="M12" s="37"/>
      <c r="N12" s="1"/>
      <c r="O12" s="42"/>
      <c r="P12" s="1"/>
      <c r="Q12" s="46">
        <f t="shared" si="2"/>
        <v>0</v>
      </c>
      <c r="R12" s="1"/>
      <c r="S12" s="29"/>
    </row>
    <row r="13">
      <c r="A13" s="31">
        <v>9.0</v>
      </c>
      <c r="B13" s="1"/>
      <c r="C13" s="37"/>
      <c r="D13" s="1"/>
      <c r="E13" s="42"/>
      <c r="F13" s="37"/>
      <c r="G13" s="46">
        <f t="shared" si="1"/>
        <v>0</v>
      </c>
      <c r="H13" s="37"/>
      <c r="I13" s="29"/>
      <c r="K13" s="31">
        <v>9.0</v>
      </c>
      <c r="L13" s="1"/>
      <c r="M13" s="37"/>
      <c r="N13" s="1"/>
      <c r="O13" s="42"/>
      <c r="P13" s="37"/>
      <c r="Q13" s="46">
        <f t="shared" si="2"/>
        <v>0</v>
      </c>
      <c r="R13" s="37"/>
      <c r="S13" s="29"/>
    </row>
    <row r="14">
      <c r="A14" s="31">
        <v>10.0</v>
      </c>
      <c r="B14" s="37"/>
      <c r="C14" s="37"/>
      <c r="D14" s="37"/>
      <c r="E14" s="42"/>
      <c r="F14" s="37"/>
      <c r="G14" s="46">
        <f t="shared" si="1"/>
        <v>0</v>
      </c>
      <c r="H14" s="37"/>
      <c r="I14" s="29"/>
      <c r="K14" s="31">
        <v>10.0</v>
      </c>
      <c r="L14" s="37"/>
      <c r="M14" s="37"/>
      <c r="N14" s="37"/>
      <c r="O14" s="42"/>
      <c r="P14" s="37"/>
      <c r="Q14" s="46">
        <f t="shared" si="2"/>
        <v>0</v>
      </c>
      <c r="R14" s="37"/>
      <c r="S14" s="29"/>
    </row>
    <row r="15">
      <c r="A15" s="31">
        <v>11.0</v>
      </c>
      <c r="B15" s="37"/>
      <c r="C15" s="37"/>
      <c r="D15" s="37"/>
      <c r="E15" s="42"/>
      <c r="F15" s="37"/>
      <c r="G15" s="46">
        <f t="shared" si="1"/>
        <v>0</v>
      </c>
      <c r="H15" s="37"/>
      <c r="I15" s="29"/>
      <c r="K15" s="31">
        <v>11.0</v>
      </c>
      <c r="L15" s="37"/>
      <c r="M15" s="37"/>
      <c r="N15" s="37"/>
      <c r="O15" s="42"/>
      <c r="P15" s="37"/>
      <c r="Q15" s="46">
        <f t="shared" si="2"/>
        <v>0</v>
      </c>
      <c r="R15" s="37"/>
      <c r="S15" s="29"/>
    </row>
    <row r="16">
      <c r="A16" s="31">
        <v>12.0</v>
      </c>
      <c r="B16" s="37"/>
      <c r="C16" s="37"/>
      <c r="D16" s="37"/>
      <c r="E16" s="42"/>
      <c r="F16" s="37"/>
      <c r="G16" s="46">
        <f t="shared" si="1"/>
        <v>0</v>
      </c>
      <c r="H16" s="37"/>
      <c r="I16" s="29"/>
      <c r="K16" s="31">
        <v>12.0</v>
      </c>
      <c r="L16" s="37"/>
      <c r="M16" s="37"/>
      <c r="N16" s="37"/>
      <c r="O16" s="42"/>
      <c r="P16" s="37"/>
      <c r="Q16" s="46">
        <f t="shared" si="2"/>
        <v>0</v>
      </c>
      <c r="R16" s="37"/>
      <c r="S16" s="29"/>
    </row>
    <row r="17">
      <c r="A17" s="31">
        <v>13.0</v>
      </c>
      <c r="B17" s="37"/>
      <c r="C17" s="37"/>
      <c r="D17" s="37"/>
      <c r="E17" s="42"/>
      <c r="F17" s="37"/>
      <c r="G17" s="46">
        <f t="shared" si="1"/>
        <v>0</v>
      </c>
      <c r="H17" s="37"/>
      <c r="I17" s="29"/>
      <c r="K17" s="31">
        <v>13.0</v>
      </c>
      <c r="L17" s="37"/>
      <c r="M17" s="37"/>
      <c r="N17" s="37"/>
      <c r="O17" s="42"/>
      <c r="P17" s="37"/>
      <c r="Q17" s="46">
        <f t="shared" si="2"/>
        <v>0</v>
      </c>
      <c r="R17" s="37"/>
      <c r="S17" s="29"/>
    </row>
    <row r="18">
      <c r="A18" s="31">
        <v>14.0</v>
      </c>
      <c r="B18" s="37"/>
      <c r="C18" s="37"/>
      <c r="D18" s="37"/>
      <c r="E18" s="42"/>
      <c r="F18" s="37"/>
      <c r="G18" s="46">
        <f t="shared" si="1"/>
        <v>0</v>
      </c>
      <c r="H18" s="37"/>
      <c r="I18" s="29"/>
      <c r="K18" s="31">
        <v>14.0</v>
      </c>
      <c r="L18" s="37"/>
      <c r="M18" s="37"/>
      <c r="N18" s="37"/>
      <c r="O18" s="42"/>
      <c r="P18" s="37"/>
      <c r="Q18" s="46">
        <f t="shared" si="2"/>
        <v>0</v>
      </c>
      <c r="R18" s="37"/>
      <c r="S18" s="29"/>
    </row>
    <row r="19">
      <c r="A19" s="31">
        <v>15.0</v>
      </c>
      <c r="B19" s="37"/>
      <c r="C19" s="37"/>
      <c r="D19" s="37"/>
      <c r="E19" s="42"/>
      <c r="F19" s="37"/>
      <c r="G19" s="46">
        <f t="shared" si="1"/>
        <v>0</v>
      </c>
      <c r="H19" s="37"/>
      <c r="I19" s="29"/>
      <c r="K19" s="31">
        <v>15.0</v>
      </c>
      <c r="L19" s="37"/>
      <c r="M19" s="37"/>
      <c r="N19" s="37"/>
      <c r="O19" s="42"/>
      <c r="P19" s="37"/>
      <c r="Q19" s="46">
        <f t="shared" si="2"/>
        <v>0</v>
      </c>
      <c r="R19" s="37"/>
      <c r="S19" s="29"/>
    </row>
    <row r="20">
      <c r="A20" s="31">
        <v>16.0</v>
      </c>
      <c r="B20" s="37"/>
      <c r="C20" s="37"/>
      <c r="D20" s="37"/>
      <c r="E20" s="42"/>
      <c r="F20" s="37"/>
      <c r="G20" s="46">
        <f t="shared" si="1"/>
        <v>0</v>
      </c>
      <c r="H20" s="37"/>
      <c r="I20" s="29"/>
      <c r="K20" s="31">
        <v>16.0</v>
      </c>
      <c r="L20" s="37"/>
      <c r="M20" s="37"/>
      <c r="N20" s="37"/>
      <c r="O20" s="42"/>
      <c r="P20" s="37"/>
      <c r="Q20" s="46">
        <f t="shared" si="2"/>
        <v>0</v>
      </c>
      <c r="R20" s="37"/>
      <c r="S20" s="29"/>
    </row>
    <row r="21">
      <c r="A21" s="31">
        <v>17.0</v>
      </c>
      <c r="B21" s="37"/>
      <c r="C21" s="37"/>
      <c r="D21" s="37"/>
      <c r="E21" s="42"/>
      <c r="F21" s="37"/>
      <c r="G21" s="46">
        <f t="shared" si="1"/>
        <v>0</v>
      </c>
      <c r="H21" s="37"/>
      <c r="I21" s="29"/>
      <c r="K21" s="31">
        <v>17.0</v>
      </c>
      <c r="L21" s="37"/>
      <c r="M21" s="37"/>
      <c r="N21" s="37"/>
      <c r="O21" s="42"/>
      <c r="P21" s="37"/>
      <c r="Q21" s="46">
        <f t="shared" si="2"/>
        <v>0</v>
      </c>
      <c r="R21" s="37"/>
      <c r="S21" s="29"/>
    </row>
    <row r="22">
      <c r="A22" s="31">
        <v>18.0</v>
      </c>
      <c r="B22" s="37"/>
      <c r="C22" s="37"/>
      <c r="D22" s="37"/>
      <c r="E22" s="42"/>
      <c r="F22" s="37"/>
      <c r="G22" s="46">
        <f t="shared" si="1"/>
        <v>0</v>
      </c>
      <c r="H22" s="37"/>
      <c r="I22" s="29"/>
      <c r="K22" s="31">
        <v>18.0</v>
      </c>
      <c r="L22" s="37"/>
      <c r="M22" s="37"/>
      <c r="N22" s="37"/>
      <c r="O22" s="42"/>
      <c r="P22" s="37"/>
      <c r="Q22" s="46">
        <f t="shared" si="2"/>
        <v>0</v>
      </c>
      <c r="R22" s="37"/>
      <c r="S22" s="29"/>
    </row>
    <row r="23">
      <c r="A23" s="31">
        <v>19.0</v>
      </c>
      <c r="B23" s="37"/>
      <c r="C23" s="37"/>
      <c r="D23" s="37"/>
      <c r="E23" s="42"/>
      <c r="F23" s="37"/>
      <c r="G23" s="46">
        <f t="shared" si="1"/>
        <v>0</v>
      </c>
      <c r="H23" s="37"/>
      <c r="I23" s="29"/>
      <c r="K23" s="31">
        <v>19.0</v>
      </c>
      <c r="L23" s="37"/>
      <c r="M23" s="37"/>
      <c r="N23" s="37"/>
      <c r="O23" s="42"/>
      <c r="P23" s="37"/>
      <c r="Q23" s="46">
        <f t="shared" si="2"/>
        <v>0</v>
      </c>
      <c r="R23" s="37"/>
      <c r="S23" s="29"/>
    </row>
    <row r="24">
      <c r="A24" s="31">
        <v>20.0</v>
      </c>
      <c r="B24" s="37"/>
      <c r="C24" s="37"/>
      <c r="D24" s="37"/>
      <c r="E24" s="42"/>
      <c r="F24" s="37"/>
      <c r="G24" s="46">
        <f t="shared" si="1"/>
        <v>0</v>
      </c>
      <c r="H24" s="37"/>
      <c r="I24" s="29"/>
      <c r="K24" s="31">
        <v>20.0</v>
      </c>
      <c r="L24" s="37"/>
      <c r="M24" s="37"/>
      <c r="N24" s="37"/>
      <c r="O24" s="42"/>
      <c r="P24" s="37"/>
      <c r="Q24" s="46">
        <f t="shared" si="2"/>
        <v>0</v>
      </c>
      <c r="R24" s="37"/>
      <c r="S24" s="29"/>
    </row>
    <row r="25">
      <c r="A25" s="31">
        <v>21.0</v>
      </c>
      <c r="B25" s="37"/>
      <c r="C25" s="37"/>
      <c r="D25" s="37"/>
      <c r="E25" s="42"/>
      <c r="F25" s="37"/>
      <c r="G25" s="46">
        <f t="shared" si="1"/>
        <v>0</v>
      </c>
      <c r="H25" s="37"/>
      <c r="I25" s="29"/>
      <c r="K25" s="31">
        <v>21.0</v>
      </c>
      <c r="L25" s="37"/>
      <c r="M25" s="37"/>
      <c r="N25" s="37"/>
      <c r="O25" s="42"/>
      <c r="P25" s="37"/>
      <c r="Q25" s="46">
        <f t="shared" si="2"/>
        <v>0</v>
      </c>
      <c r="R25" s="37"/>
      <c r="S25" s="29"/>
    </row>
    <row r="26">
      <c r="A26" s="31">
        <v>22.0</v>
      </c>
      <c r="B26" s="37"/>
      <c r="C26" s="37"/>
      <c r="D26" s="37"/>
      <c r="E26" s="42"/>
      <c r="F26" s="37"/>
      <c r="G26" s="46">
        <f t="shared" si="1"/>
        <v>0</v>
      </c>
      <c r="H26" s="37"/>
      <c r="I26" s="29"/>
      <c r="K26" s="31">
        <v>22.0</v>
      </c>
      <c r="L26" s="37"/>
      <c r="M26" s="37"/>
      <c r="N26" s="37"/>
      <c r="O26" s="42"/>
      <c r="P26" s="37"/>
      <c r="Q26" s="46">
        <f t="shared" si="2"/>
        <v>0</v>
      </c>
      <c r="R26" s="37"/>
      <c r="S26" s="29"/>
    </row>
    <row r="27">
      <c r="A27" s="31">
        <v>23.0</v>
      </c>
      <c r="B27" s="37"/>
      <c r="C27" s="37"/>
      <c r="D27" s="37"/>
      <c r="E27" s="42"/>
      <c r="F27" s="37"/>
      <c r="G27" s="46">
        <f t="shared" si="1"/>
        <v>0</v>
      </c>
      <c r="H27" s="37"/>
      <c r="I27" s="29"/>
      <c r="K27" s="31">
        <v>23.0</v>
      </c>
      <c r="L27" s="37"/>
      <c r="M27" s="37"/>
      <c r="N27" s="37"/>
      <c r="O27" s="42"/>
      <c r="P27" s="37"/>
      <c r="Q27" s="46">
        <f t="shared" si="2"/>
        <v>0</v>
      </c>
      <c r="R27" s="37"/>
      <c r="S27" s="29"/>
    </row>
    <row r="28">
      <c r="A28" s="31">
        <v>24.0</v>
      </c>
      <c r="B28" s="37"/>
      <c r="C28" s="37"/>
      <c r="D28" s="37"/>
      <c r="E28" s="42"/>
      <c r="F28" s="37"/>
      <c r="G28" s="46">
        <f t="shared" si="1"/>
        <v>0</v>
      </c>
      <c r="H28" s="37"/>
      <c r="I28" s="29"/>
      <c r="K28" s="31">
        <v>24.0</v>
      </c>
      <c r="L28" s="37"/>
      <c r="M28" s="37"/>
      <c r="N28" s="37"/>
      <c r="O28" s="42"/>
      <c r="P28" s="37"/>
      <c r="Q28" s="46">
        <f t="shared" si="2"/>
        <v>0</v>
      </c>
      <c r="R28" s="37"/>
      <c r="S28" s="29"/>
    </row>
    <row r="29">
      <c r="A29" s="31">
        <v>25.0</v>
      </c>
      <c r="B29" s="37"/>
      <c r="C29" s="37"/>
      <c r="D29" s="37"/>
      <c r="E29" s="42"/>
      <c r="F29" s="37"/>
      <c r="G29" s="46">
        <f t="shared" si="1"/>
        <v>0</v>
      </c>
      <c r="H29" s="37"/>
      <c r="I29" s="29"/>
      <c r="K29" s="31">
        <v>25.0</v>
      </c>
      <c r="L29" s="37"/>
      <c r="M29" s="37"/>
      <c r="N29" s="37"/>
      <c r="O29" s="42"/>
      <c r="P29" s="37"/>
      <c r="Q29" s="46">
        <f t="shared" si="2"/>
        <v>0</v>
      </c>
      <c r="R29" s="37"/>
      <c r="S29" s="29"/>
    </row>
    <row r="30">
      <c r="A30" s="31">
        <v>26.0</v>
      </c>
      <c r="B30" s="37"/>
      <c r="C30" s="37"/>
      <c r="D30" s="37"/>
      <c r="E30" s="42"/>
      <c r="F30" s="37"/>
      <c r="G30" s="46">
        <f t="shared" si="1"/>
        <v>0</v>
      </c>
      <c r="H30" s="37"/>
      <c r="I30" s="29"/>
      <c r="K30" s="31">
        <v>26.0</v>
      </c>
      <c r="L30" s="37"/>
      <c r="M30" s="37"/>
      <c r="N30" s="37"/>
      <c r="O30" s="42"/>
      <c r="P30" s="37"/>
      <c r="Q30" s="46">
        <f t="shared" si="2"/>
        <v>0</v>
      </c>
      <c r="R30" s="37"/>
      <c r="S30" s="29"/>
    </row>
    <row r="31">
      <c r="A31" s="31">
        <v>27.0</v>
      </c>
      <c r="B31" s="37"/>
      <c r="C31" s="37"/>
      <c r="D31" s="37"/>
      <c r="E31" s="42"/>
      <c r="F31" s="37"/>
      <c r="G31" s="46">
        <f t="shared" si="1"/>
        <v>0</v>
      </c>
      <c r="H31" s="37"/>
      <c r="I31" s="29"/>
      <c r="K31" s="31">
        <v>27.0</v>
      </c>
      <c r="L31" s="37"/>
      <c r="M31" s="37"/>
      <c r="N31" s="37"/>
      <c r="O31" s="42"/>
      <c r="P31" s="37"/>
      <c r="Q31" s="46">
        <f t="shared" si="2"/>
        <v>0</v>
      </c>
      <c r="R31" s="37"/>
      <c r="S31" s="29"/>
    </row>
    <row r="32">
      <c r="A32" s="31">
        <v>28.0</v>
      </c>
      <c r="B32" s="37"/>
      <c r="C32" s="37"/>
      <c r="D32" s="37"/>
      <c r="E32" s="42"/>
      <c r="F32" s="37"/>
      <c r="G32" s="46">
        <f t="shared" si="1"/>
        <v>0</v>
      </c>
      <c r="H32" s="37"/>
      <c r="I32" s="29"/>
      <c r="K32" s="31">
        <v>28.0</v>
      </c>
      <c r="L32" s="37"/>
      <c r="M32" s="37"/>
      <c r="N32" s="37"/>
      <c r="O32" s="42"/>
      <c r="P32" s="37"/>
      <c r="Q32" s="46">
        <f t="shared" si="2"/>
        <v>0</v>
      </c>
      <c r="R32" s="37"/>
      <c r="S32" s="29"/>
    </row>
    <row r="33">
      <c r="A33" s="31">
        <v>29.0</v>
      </c>
      <c r="B33" s="37"/>
      <c r="C33" s="37"/>
      <c r="D33" s="37"/>
      <c r="E33" s="42"/>
      <c r="F33" s="37"/>
      <c r="G33" s="46">
        <f t="shared" si="1"/>
        <v>0</v>
      </c>
      <c r="H33" s="37"/>
      <c r="I33" s="29"/>
      <c r="K33" s="31">
        <v>29.0</v>
      </c>
      <c r="L33" s="37"/>
      <c r="M33" s="37"/>
      <c r="N33" s="37"/>
      <c r="O33" s="42"/>
      <c r="P33" s="37"/>
      <c r="Q33" s="46">
        <f t="shared" si="2"/>
        <v>0</v>
      </c>
      <c r="R33" s="37"/>
      <c r="S33" s="29"/>
    </row>
    <row r="34">
      <c r="A34" s="31">
        <v>30.0</v>
      </c>
      <c r="B34" s="37"/>
      <c r="C34" s="37"/>
      <c r="D34" s="37"/>
      <c r="E34" s="42"/>
      <c r="F34" s="37"/>
      <c r="G34" s="46">
        <f t="shared" si="1"/>
        <v>0</v>
      </c>
      <c r="H34" s="37"/>
      <c r="I34" s="29"/>
      <c r="K34" s="31">
        <v>30.0</v>
      </c>
      <c r="L34" s="37"/>
      <c r="M34" s="37"/>
      <c r="N34" s="37"/>
      <c r="O34" s="42"/>
      <c r="P34" s="37"/>
      <c r="Q34" s="46">
        <f t="shared" si="2"/>
        <v>0</v>
      </c>
      <c r="R34" s="37"/>
      <c r="S34" s="29"/>
    </row>
    <row r="35">
      <c r="A35" s="31">
        <v>31.0</v>
      </c>
      <c r="B35" s="37"/>
      <c r="C35" s="37"/>
      <c r="D35" s="37"/>
      <c r="E35" s="42"/>
      <c r="F35" s="37"/>
      <c r="G35" s="46">
        <f t="shared" si="1"/>
        <v>0</v>
      </c>
      <c r="H35" s="37"/>
      <c r="I35" s="29"/>
      <c r="K35" s="31">
        <v>31.0</v>
      </c>
      <c r="L35" s="37"/>
      <c r="M35" s="37"/>
      <c r="N35" s="37"/>
      <c r="O35" s="42"/>
      <c r="P35" s="37"/>
      <c r="Q35" s="46">
        <f t="shared" si="2"/>
        <v>0</v>
      </c>
      <c r="R35" s="37"/>
      <c r="S35" s="29"/>
    </row>
    <row r="36">
      <c r="A36" s="31">
        <v>32.0</v>
      </c>
      <c r="B36" s="37"/>
      <c r="C36" s="37"/>
      <c r="D36" s="37"/>
      <c r="E36" s="42"/>
      <c r="F36" s="37"/>
      <c r="G36" s="46">
        <f t="shared" si="1"/>
        <v>0</v>
      </c>
      <c r="H36" s="37"/>
      <c r="I36" s="29"/>
      <c r="K36" s="31">
        <v>32.0</v>
      </c>
      <c r="L36" s="37"/>
      <c r="M36" s="37"/>
      <c r="N36" s="37"/>
      <c r="O36" s="42"/>
      <c r="P36" s="37"/>
      <c r="Q36" s="46">
        <f t="shared" si="2"/>
        <v>0</v>
      </c>
      <c r="R36" s="37"/>
      <c r="S36" s="29"/>
    </row>
    <row r="37">
      <c r="A37" s="31">
        <v>33.0</v>
      </c>
      <c r="B37" s="37"/>
      <c r="C37" s="37"/>
      <c r="D37" s="37"/>
      <c r="E37" s="42"/>
      <c r="F37" s="37"/>
      <c r="G37" s="46">
        <f t="shared" si="1"/>
        <v>0</v>
      </c>
      <c r="H37" s="37"/>
      <c r="I37" s="29"/>
      <c r="K37" s="31">
        <v>33.0</v>
      </c>
      <c r="L37" s="37"/>
      <c r="M37" s="37"/>
      <c r="N37" s="37"/>
      <c r="O37" s="42"/>
      <c r="P37" s="37"/>
      <c r="Q37" s="46">
        <f t="shared" si="2"/>
        <v>0</v>
      </c>
      <c r="R37" s="37"/>
      <c r="S37" s="29"/>
    </row>
    <row r="38">
      <c r="A38" s="31">
        <v>34.0</v>
      </c>
      <c r="B38" s="37"/>
      <c r="C38" s="37"/>
      <c r="D38" s="37"/>
      <c r="E38" s="42"/>
      <c r="F38" s="37"/>
      <c r="G38" s="46">
        <f t="shared" si="1"/>
        <v>0</v>
      </c>
      <c r="H38" s="37"/>
      <c r="I38" s="29"/>
      <c r="K38" s="31">
        <v>34.0</v>
      </c>
      <c r="L38" s="37"/>
      <c r="M38" s="37"/>
      <c r="N38" s="37"/>
      <c r="O38" s="42"/>
      <c r="P38" s="37"/>
      <c r="Q38" s="46">
        <f t="shared" si="2"/>
        <v>0</v>
      </c>
      <c r="R38" s="37"/>
      <c r="S38" s="29"/>
    </row>
    <row r="39">
      <c r="A39" s="31">
        <v>35.0</v>
      </c>
      <c r="B39" s="37"/>
      <c r="C39" s="37"/>
      <c r="D39" s="37"/>
      <c r="E39" s="42"/>
      <c r="F39" s="37"/>
      <c r="G39" s="46">
        <f t="shared" si="1"/>
        <v>0</v>
      </c>
      <c r="H39" s="37"/>
      <c r="I39" s="29"/>
      <c r="K39" s="31">
        <v>35.0</v>
      </c>
      <c r="L39" s="37"/>
      <c r="M39" s="37"/>
      <c r="N39" s="37"/>
      <c r="O39" s="42"/>
      <c r="P39" s="37"/>
      <c r="Q39" s="46">
        <f t="shared" si="2"/>
        <v>0</v>
      </c>
      <c r="R39" s="37"/>
      <c r="S39" s="29"/>
    </row>
    <row r="40">
      <c r="A40" s="31">
        <v>36.0</v>
      </c>
      <c r="B40" s="37"/>
      <c r="C40" s="37"/>
      <c r="D40" s="37"/>
      <c r="E40" s="42"/>
      <c r="F40" s="37"/>
      <c r="G40" s="46">
        <f t="shared" si="1"/>
        <v>0</v>
      </c>
      <c r="H40" s="37"/>
      <c r="I40" s="29"/>
      <c r="K40" s="31">
        <v>36.0</v>
      </c>
      <c r="L40" s="37"/>
      <c r="M40" s="37"/>
      <c r="N40" s="37"/>
      <c r="O40" s="42"/>
      <c r="P40" s="37"/>
      <c r="Q40" s="46">
        <f t="shared" si="2"/>
        <v>0</v>
      </c>
      <c r="R40" s="37"/>
      <c r="S40" s="29"/>
    </row>
    <row r="41">
      <c r="A41" s="31">
        <v>37.0</v>
      </c>
      <c r="B41" s="37"/>
      <c r="C41" s="37"/>
      <c r="D41" s="37"/>
      <c r="E41" s="42"/>
      <c r="F41" s="37"/>
      <c r="G41" s="46">
        <f t="shared" si="1"/>
        <v>0</v>
      </c>
      <c r="H41" s="37"/>
      <c r="I41" s="29"/>
      <c r="K41" s="31">
        <v>37.0</v>
      </c>
      <c r="L41" s="37"/>
      <c r="M41" s="37"/>
      <c r="N41" s="37"/>
      <c r="O41" s="42"/>
      <c r="P41" s="37"/>
      <c r="Q41" s="46">
        <f t="shared" si="2"/>
        <v>0</v>
      </c>
      <c r="R41" s="37"/>
      <c r="S41" s="29"/>
    </row>
    <row r="42">
      <c r="A42" s="31">
        <v>38.0</v>
      </c>
      <c r="B42" s="37"/>
      <c r="C42" s="37"/>
      <c r="D42" s="37"/>
      <c r="E42" s="42"/>
      <c r="F42" s="37"/>
      <c r="G42" s="46">
        <f t="shared" si="1"/>
        <v>0</v>
      </c>
      <c r="H42" s="37"/>
      <c r="I42" s="29"/>
      <c r="K42" s="31">
        <v>38.0</v>
      </c>
      <c r="L42" s="37"/>
      <c r="M42" s="37"/>
      <c r="N42" s="37"/>
      <c r="O42" s="42"/>
      <c r="P42" s="37"/>
      <c r="Q42" s="46">
        <f t="shared" si="2"/>
        <v>0</v>
      </c>
      <c r="R42" s="37"/>
      <c r="S42" s="29"/>
    </row>
    <row r="43">
      <c r="A43" s="1" t="s">
        <v>28</v>
      </c>
      <c r="B43" s="40">
        <f>countif(B4:B42,"*")</f>
        <v>7</v>
      </c>
      <c r="C43" s="37"/>
      <c r="D43" s="37"/>
      <c r="E43" s="37"/>
      <c r="F43" s="37"/>
      <c r="G43" s="37"/>
      <c r="H43" s="37"/>
      <c r="I43" s="37"/>
      <c r="K43" s="1" t="s">
        <v>28</v>
      </c>
      <c r="L43" s="40">
        <f>countif(L4:L42,"*")</f>
        <v>0</v>
      </c>
      <c r="M43" s="37"/>
      <c r="N43" s="37"/>
      <c r="O43" s="37"/>
      <c r="P43" s="37"/>
      <c r="Q43" s="37"/>
      <c r="R43" s="37"/>
      <c r="S43" s="37"/>
    </row>
  </sheetData>
  <mergeCells count="20">
    <mergeCell ref="L2:M2"/>
    <mergeCell ref="N2:O2"/>
    <mergeCell ref="K3:K4"/>
    <mergeCell ref="L3:L4"/>
    <mergeCell ref="M3:M4"/>
    <mergeCell ref="N3:N4"/>
    <mergeCell ref="B2:C2"/>
    <mergeCell ref="A3:A4"/>
    <mergeCell ref="B3:B4"/>
    <mergeCell ref="C3:C4"/>
    <mergeCell ref="D3:D4"/>
    <mergeCell ref="P2:R2"/>
    <mergeCell ref="O3:R3"/>
    <mergeCell ref="A1:H1"/>
    <mergeCell ref="I1:I3"/>
    <mergeCell ref="K1:R1"/>
    <mergeCell ref="S1:S3"/>
    <mergeCell ref="D2:E2"/>
    <mergeCell ref="F2:H2"/>
    <mergeCell ref="E3:H3"/>
  </mergeCells>
  <dataValidations>
    <dataValidation type="list" allowBlank="1" sqref="D5:D42 N5:N42">
      <formula1>Data!$A$2:$A$12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4.25"/>
    <col customWidth="1" min="3" max="3" width="15.5"/>
    <col customWidth="1" min="4" max="4" width="13.75"/>
    <col customWidth="1" min="5" max="5" width="15.0"/>
    <col customWidth="1" min="6" max="6" width="15.25"/>
    <col customWidth="1" min="7" max="7" width="15.38"/>
    <col customWidth="1" min="8" max="8" width="25.25"/>
    <col customWidth="1" min="12" max="12" width="16.25"/>
    <col customWidth="1" min="13" max="13" width="15.5"/>
    <col customWidth="1" min="18" max="18" width="25.63"/>
  </cols>
  <sheetData>
    <row r="1">
      <c r="A1" s="3" t="s">
        <v>358</v>
      </c>
      <c r="B1" s="5"/>
      <c r="C1" s="5"/>
      <c r="D1" s="5"/>
      <c r="E1" s="5"/>
      <c r="F1" s="5"/>
      <c r="G1" s="5"/>
      <c r="H1" s="6"/>
      <c r="I1" s="8" t="s">
        <v>17</v>
      </c>
      <c r="K1" s="3" t="s">
        <v>359</v>
      </c>
      <c r="L1" s="5"/>
      <c r="M1" s="5"/>
      <c r="N1" s="5"/>
      <c r="O1" s="5"/>
      <c r="P1" s="5"/>
      <c r="Q1" s="5"/>
      <c r="R1" s="6"/>
      <c r="S1" s="8" t="s">
        <v>17</v>
      </c>
    </row>
    <row r="2">
      <c r="A2" s="25"/>
      <c r="B2" s="18"/>
      <c r="C2" s="5"/>
      <c r="D2" s="160"/>
      <c r="E2" s="6"/>
      <c r="F2" s="160"/>
      <c r="G2" s="5"/>
      <c r="H2" s="6"/>
      <c r="I2" s="138"/>
      <c r="K2" s="25"/>
      <c r="L2" s="18"/>
      <c r="M2" s="5"/>
      <c r="N2" s="160"/>
      <c r="O2" s="6"/>
      <c r="P2" s="160"/>
      <c r="Q2" s="5"/>
      <c r="R2" s="6"/>
      <c r="S2" s="138"/>
    </row>
    <row r="3">
      <c r="A3" s="14" t="s">
        <v>21</v>
      </c>
      <c r="B3" s="14" t="s">
        <v>22</v>
      </c>
      <c r="C3" s="14" t="s">
        <v>24</v>
      </c>
      <c r="D3" s="14" t="s">
        <v>0</v>
      </c>
      <c r="E3" s="18" t="s">
        <v>26</v>
      </c>
      <c r="F3" s="5"/>
      <c r="G3" s="5"/>
      <c r="H3" s="6"/>
      <c r="I3" s="15"/>
      <c r="K3" s="14" t="s">
        <v>21</v>
      </c>
      <c r="L3" s="14" t="s">
        <v>22</v>
      </c>
      <c r="M3" s="14" t="s">
        <v>24</v>
      </c>
      <c r="N3" s="14" t="s">
        <v>0</v>
      </c>
      <c r="O3" s="18" t="s">
        <v>26</v>
      </c>
      <c r="P3" s="5"/>
      <c r="Q3" s="5"/>
      <c r="R3" s="6"/>
      <c r="S3" s="15"/>
    </row>
    <row r="4">
      <c r="A4" s="15"/>
      <c r="B4" s="15"/>
      <c r="C4" s="15"/>
      <c r="D4" s="15"/>
      <c r="E4" s="25" t="s">
        <v>34</v>
      </c>
      <c r="F4" s="25" t="s">
        <v>35</v>
      </c>
      <c r="G4" s="25" t="s">
        <v>36</v>
      </c>
      <c r="H4" s="25" t="s">
        <v>37</v>
      </c>
      <c r="I4" s="29"/>
      <c r="K4" s="15"/>
      <c r="L4" s="15"/>
      <c r="M4" s="15"/>
      <c r="N4" s="15"/>
      <c r="O4" s="25" t="s">
        <v>34</v>
      </c>
      <c r="P4" s="25" t="s">
        <v>35</v>
      </c>
      <c r="Q4" s="25" t="s">
        <v>36</v>
      </c>
      <c r="R4" s="25" t="s">
        <v>37</v>
      </c>
      <c r="S4" s="29"/>
    </row>
    <row r="5">
      <c r="A5" s="31">
        <v>1.0</v>
      </c>
      <c r="B5" s="1" t="s">
        <v>360</v>
      </c>
      <c r="C5" s="1">
        <v>1.270190006E9</v>
      </c>
      <c r="D5" s="1" t="s">
        <v>15</v>
      </c>
      <c r="E5" s="42">
        <v>550.0</v>
      </c>
      <c r="F5" s="1"/>
      <c r="G5" s="46">
        <f t="shared" ref="G5:G42" si="1">E5-F5</f>
        <v>550</v>
      </c>
      <c r="H5" s="1" t="s">
        <v>361</v>
      </c>
      <c r="I5" s="29"/>
      <c r="K5" s="31">
        <v>1.0</v>
      </c>
      <c r="L5" s="163" t="s">
        <v>276</v>
      </c>
      <c r="M5" s="1">
        <v>1.00548868E9</v>
      </c>
      <c r="N5" s="1" t="s">
        <v>15</v>
      </c>
      <c r="O5" s="42">
        <v>650.0</v>
      </c>
      <c r="P5" s="1">
        <v>575.0</v>
      </c>
      <c r="Q5" s="46">
        <f>O5-P5</f>
        <v>75</v>
      </c>
      <c r="R5" s="1" t="s">
        <v>362</v>
      </c>
      <c r="S5" s="29"/>
    </row>
    <row r="6">
      <c r="A6" s="31">
        <v>2.0</v>
      </c>
      <c r="B6" s="1" t="s">
        <v>363</v>
      </c>
      <c r="C6" s="1">
        <v>1.008794369E9</v>
      </c>
      <c r="D6" s="1" t="s">
        <v>15</v>
      </c>
      <c r="E6" s="42">
        <v>650.0</v>
      </c>
      <c r="F6" s="37"/>
      <c r="G6" s="46">
        <f t="shared" si="1"/>
        <v>650</v>
      </c>
      <c r="H6" s="1"/>
      <c r="I6" s="29"/>
      <c r="K6" s="31">
        <v>2.0</v>
      </c>
      <c r="L6" s="55" t="s">
        <v>364</v>
      </c>
      <c r="M6" s="1">
        <v>1.207301111E9</v>
      </c>
      <c r="N6" s="1" t="s">
        <v>15</v>
      </c>
      <c r="O6" s="42">
        <v>650.0</v>
      </c>
      <c r="P6" s="1">
        <v>650.0</v>
      </c>
      <c r="Q6" s="1">
        <v>0.0</v>
      </c>
      <c r="R6" s="1"/>
      <c r="S6" s="29"/>
    </row>
    <row r="7">
      <c r="A7" s="31">
        <v>3.0</v>
      </c>
      <c r="B7" s="1" t="s">
        <v>365</v>
      </c>
      <c r="C7" s="1">
        <v>1.222339029E9</v>
      </c>
      <c r="D7" s="1" t="s">
        <v>15</v>
      </c>
      <c r="E7" s="42">
        <v>650.0</v>
      </c>
      <c r="F7" s="1"/>
      <c r="G7" s="46">
        <f t="shared" si="1"/>
        <v>650</v>
      </c>
      <c r="H7" s="1"/>
      <c r="I7" s="29"/>
      <c r="K7" s="31">
        <v>3.0</v>
      </c>
      <c r="L7" s="163" t="s">
        <v>366</v>
      </c>
      <c r="M7" s="1">
        <v>1.150056E9</v>
      </c>
      <c r="N7" s="1" t="s">
        <v>15</v>
      </c>
      <c r="O7" s="42">
        <v>650.0</v>
      </c>
      <c r="P7" s="1">
        <v>650.0</v>
      </c>
      <c r="Q7" s="46">
        <f t="shared" ref="Q7:Q10" si="2">O7-P7</f>
        <v>0</v>
      </c>
      <c r="R7" s="1" t="s">
        <v>367</v>
      </c>
      <c r="S7" s="29"/>
    </row>
    <row r="8">
      <c r="A8" s="31">
        <v>4.0</v>
      </c>
      <c r="B8" s="1"/>
      <c r="C8" s="37"/>
      <c r="D8" s="1"/>
      <c r="E8" s="42"/>
      <c r="F8" s="1"/>
      <c r="G8" s="46">
        <f t="shared" si="1"/>
        <v>0</v>
      </c>
      <c r="H8" s="1"/>
      <c r="I8" s="29"/>
      <c r="K8" s="31">
        <v>4.0</v>
      </c>
      <c r="L8" s="163" t="s">
        <v>368</v>
      </c>
      <c r="M8" s="1">
        <v>1.227447039E9</v>
      </c>
      <c r="N8" s="1" t="s">
        <v>15</v>
      </c>
      <c r="O8" s="42">
        <v>550.0</v>
      </c>
      <c r="P8" s="1">
        <v>500.0</v>
      </c>
      <c r="Q8" s="46">
        <f t="shared" si="2"/>
        <v>50</v>
      </c>
      <c r="R8" s="172" t="s">
        <v>346</v>
      </c>
      <c r="S8" s="29"/>
    </row>
    <row r="9">
      <c r="A9" s="31">
        <v>5.0</v>
      </c>
      <c r="B9" s="1"/>
      <c r="C9" s="37"/>
      <c r="D9" s="1"/>
      <c r="E9" s="42"/>
      <c r="F9" s="37"/>
      <c r="G9" s="46">
        <f t="shared" si="1"/>
        <v>0</v>
      </c>
      <c r="H9" s="1"/>
      <c r="I9" s="29"/>
      <c r="K9" s="31">
        <v>5.0</v>
      </c>
      <c r="L9" s="1" t="s">
        <v>275</v>
      </c>
      <c r="M9" s="1">
        <v>1.001474499E9</v>
      </c>
      <c r="N9" s="1" t="s">
        <v>15</v>
      </c>
      <c r="O9" s="42">
        <v>550.0</v>
      </c>
      <c r="P9" s="1">
        <v>550.0</v>
      </c>
      <c r="Q9" s="46">
        <f t="shared" si="2"/>
        <v>0</v>
      </c>
      <c r="R9" s="1" t="s">
        <v>335</v>
      </c>
      <c r="S9" s="29"/>
    </row>
    <row r="10">
      <c r="A10" s="31">
        <v>6.0</v>
      </c>
      <c r="B10" s="1"/>
      <c r="C10" s="37"/>
      <c r="D10" s="1"/>
      <c r="E10" s="42"/>
      <c r="F10" s="1"/>
      <c r="G10" s="46">
        <f t="shared" si="1"/>
        <v>0</v>
      </c>
      <c r="H10" s="1"/>
      <c r="I10" s="29"/>
      <c r="K10" s="31">
        <v>6.0</v>
      </c>
      <c r="L10" s="1" t="s">
        <v>273</v>
      </c>
      <c r="M10" s="1">
        <v>1.001703976E9</v>
      </c>
      <c r="N10" s="1" t="s">
        <v>15</v>
      </c>
      <c r="O10" s="42">
        <v>550.0</v>
      </c>
      <c r="P10" s="1">
        <v>550.0</v>
      </c>
      <c r="Q10" s="46">
        <f t="shared" si="2"/>
        <v>0</v>
      </c>
      <c r="R10" s="1" t="s">
        <v>335</v>
      </c>
      <c r="S10" s="29"/>
    </row>
    <row r="11">
      <c r="A11" s="31">
        <v>7.0</v>
      </c>
      <c r="B11" s="1"/>
      <c r="C11" s="37"/>
      <c r="D11" s="1"/>
      <c r="E11" s="42"/>
      <c r="F11" s="37"/>
      <c r="G11" s="46">
        <f t="shared" si="1"/>
        <v>0</v>
      </c>
      <c r="H11" s="1"/>
      <c r="I11" s="29"/>
      <c r="K11" s="31">
        <v>7.0</v>
      </c>
      <c r="N11" s="1"/>
      <c r="O11" s="42"/>
      <c r="Q11" s="46">
        <f>O11-P6</f>
        <v>-650</v>
      </c>
      <c r="S11" s="29"/>
    </row>
    <row r="12">
      <c r="A12" s="31">
        <v>8.0</v>
      </c>
      <c r="B12" s="1"/>
      <c r="C12" s="37"/>
      <c r="D12" s="1"/>
      <c r="E12" s="42"/>
      <c r="F12" s="1"/>
      <c r="G12" s="46">
        <f t="shared" si="1"/>
        <v>0</v>
      </c>
      <c r="H12" s="1"/>
      <c r="I12" s="29"/>
      <c r="K12" s="31">
        <v>8.0</v>
      </c>
      <c r="L12" s="1"/>
      <c r="M12" s="37"/>
      <c r="N12" s="1"/>
      <c r="O12" s="42"/>
      <c r="P12" s="1"/>
      <c r="Q12" s="46">
        <f t="shared" ref="Q12:Q42" si="3">O12-P12</f>
        <v>0</v>
      </c>
      <c r="R12" s="1"/>
      <c r="S12" s="29"/>
    </row>
    <row r="13">
      <c r="A13" s="31">
        <v>9.0</v>
      </c>
      <c r="B13" s="1"/>
      <c r="C13" s="37"/>
      <c r="D13" s="1"/>
      <c r="E13" s="42"/>
      <c r="F13" s="37"/>
      <c r="G13" s="46">
        <f t="shared" si="1"/>
        <v>0</v>
      </c>
      <c r="H13" s="37"/>
      <c r="I13" s="29"/>
      <c r="K13" s="31">
        <v>9.0</v>
      </c>
      <c r="L13" s="1"/>
      <c r="M13" s="37"/>
      <c r="N13" s="1"/>
      <c r="O13" s="42"/>
      <c r="P13" s="37"/>
      <c r="Q13" s="46">
        <f t="shared" si="3"/>
        <v>0</v>
      </c>
      <c r="R13" s="37"/>
      <c r="S13" s="29"/>
    </row>
    <row r="14">
      <c r="A14" s="31">
        <v>10.0</v>
      </c>
      <c r="B14" s="37"/>
      <c r="C14" s="37"/>
      <c r="D14" s="37"/>
      <c r="E14" s="42"/>
      <c r="F14" s="37"/>
      <c r="G14" s="46">
        <f t="shared" si="1"/>
        <v>0</v>
      </c>
      <c r="H14" s="37"/>
      <c r="I14" s="29"/>
      <c r="K14" s="31">
        <v>10.0</v>
      </c>
      <c r="L14" s="37"/>
      <c r="M14" s="37"/>
      <c r="N14" s="37"/>
      <c r="O14" s="42"/>
      <c r="P14" s="37"/>
      <c r="Q14" s="46">
        <f t="shared" si="3"/>
        <v>0</v>
      </c>
      <c r="R14" s="37"/>
      <c r="S14" s="29"/>
    </row>
    <row r="15">
      <c r="A15" s="31">
        <v>11.0</v>
      </c>
      <c r="B15" s="37"/>
      <c r="C15" s="37"/>
      <c r="D15" s="37"/>
      <c r="E15" s="42"/>
      <c r="F15" s="37"/>
      <c r="G15" s="46">
        <f t="shared" si="1"/>
        <v>0</v>
      </c>
      <c r="H15" s="37"/>
      <c r="I15" s="29"/>
      <c r="K15" s="31">
        <v>11.0</v>
      </c>
      <c r="L15" s="37"/>
      <c r="M15" s="37"/>
      <c r="N15" s="37"/>
      <c r="O15" s="42"/>
      <c r="P15" s="37"/>
      <c r="Q15" s="46">
        <f t="shared" si="3"/>
        <v>0</v>
      </c>
      <c r="R15" s="37"/>
      <c r="S15" s="29"/>
    </row>
    <row r="16">
      <c r="A16" s="31">
        <v>12.0</v>
      </c>
      <c r="B16" s="37"/>
      <c r="C16" s="37"/>
      <c r="D16" s="37"/>
      <c r="E16" s="42"/>
      <c r="F16" s="37"/>
      <c r="G16" s="46">
        <f t="shared" si="1"/>
        <v>0</v>
      </c>
      <c r="H16" s="37"/>
      <c r="I16" s="29"/>
      <c r="K16" s="31">
        <v>12.0</v>
      </c>
      <c r="L16" s="37"/>
      <c r="M16" s="37"/>
      <c r="N16" s="37"/>
      <c r="O16" s="42"/>
      <c r="P16" s="37"/>
      <c r="Q16" s="46">
        <f t="shared" si="3"/>
        <v>0</v>
      </c>
      <c r="R16" s="37"/>
      <c r="S16" s="29"/>
    </row>
    <row r="17">
      <c r="A17" s="31">
        <v>13.0</v>
      </c>
      <c r="B17" s="37"/>
      <c r="C17" s="37"/>
      <c r="D17" s="37"/>
      <c r="E17" s="42"/>
      <c r="F17" s="37"/>
      <c r="G17" s="46">
        <f t="shared" si="1"/>
        <v>0</v>
      </c>
      <c r="H17" s="37"/>
      <c r="I17" s="29"/>
      <c r="K17" s="31">
        <v>13.0</v>
      </c>
      <c r="L17" s="37"/>
      <c r="M17" s="37"/>
      <c r="N17" s="37"/>
      <c r="O17" s="42"/>
      <c r="P17" s="37"/>
      <c r="Q17" s="46">
        <f t="shared" si="3"/>
        <v>0</v>
      </c>
      <c r="R17" s="37"/>
      <c r="S17" s="29"/>
    </row>
    <row r="18">
      <c r="A18" s="31">
        <v>14.0</v>
      </c>
      <c r="B18" s="37"/>
      <c r="C18" s="37"/>
      <c r="D18" s="37"/>
      <c r="E18" s="42"/>
      <c r="F18" s="37"/>
      <c r="G18" s="46">
        <f t="shared" si="1"/>
        <v>0</v>
      </c>
      <c r="H18" s="37"/>
      <c r="I18" s="29"/>
      <c r="K18" s="31">
        <v>14.0</v>
      </c>
      <c r="L18" s="37"/>
      <c r="M18" s="37"/>
      <c r="N18" s="37"/>
      <c r="O18" s="42"/>
      <c r="P18" s="37"/>
      <c r="Q18" s="46">
        <f t="shared" si="3"/>
        <v>0</v>
      </c>
      <c r="R18" s="37"/>
      <c r="S18" s="29"/>
    </row>
    <row r="19">
      <c r="A19" s="31">
        <v>15.0</v>
      </c>
      <c r="B19" s="37"/>
      <c r="C19" s="37"/>
      <c r="D19" s="37"/>
      <c r="E19" s="42"/>
      <c r="F19" s="37"/>
      <c r="G19" s="46">
        <f t="shared" si="1"/>
        <v>0</v>
      </c>
      <c r="H19" s="37"/>
      <c r="I19" s="29"/>
      <c r="K19" s="31">
        <v>15.0</v>
      </c>
      <c r="L19" s="37"/>
      <c r="M19" s="37"/>
      <c r="N19" s="37"/>
      <c r="O19" s="42"/>
      <c r="P19" s="37"/>
      <c r="Q19" s="46">
        <f t="shared" si="3"/>
        <v>0</v>
      </c>
      <c r="R19" s="37"/>
      <c r="S19" s="29"/>
    </row>
    <row r="20">
      <c r="A20" s="31">
        <v>16.0</v>
      </c>
      <c r="B20" s="37"/>
      <c r="C20" s="37"/>
      <c r="D20" s="37"/>
      <c r="E20" s="42"/>
      <c r="F20" s="37"/>
      <c r="G20" s="46">
        <f t="shared" si="1"/>
        <v>0</v>
      </c>
      <c r="H20" s="37"/>
      <c r="I20" s="29"/>
      <c r="K20" s="31">
        <v>16.0</v>
      </c>
      <c r="L20" s="37"/>
      <c r="M20" s="37"/>
      <c r="N20" s="37"/>
      <c r="O20" s="42"/>
      <c r="P20" s="37"/>
      <c r="Q20" s="46">
        <f t="shared" si="3"/>
        <v>0</v>
      </c>
      <c r="R20" s="37"/>
      <c r="S20" s="29"/>
    </row>
    <row r="21">
      <c r="A21" s="31">
        <v>17.0</v>
      </c>
      <c r="B21" s="37"/>
      <c r="C21" s="37"/>
      <c r="D21" s="37"/>
      <c r="E21" s="42"/>
      <c r="F21" s="37"/>
      <c r="G21" s="46">
        <f t="shared" si="1"/>
        <v>0</v>
      </c>
      <c r="H21" s="37"/>
      <c r="I21" s="29"/>
      <c r="K21" s="31">
        <v>17.0</v>
      </c>
      <c r="L21" s="37"/>
      <c r="M21" s="37"/>
      <c r="N21" s="37"/>
      <c r="O21" s="42"/>
      <c r="P21" s="37"/>
      <c r="Q21" s="46">
        <f t="shared" si="3"/>
        <v>0</v>
      </c>
      <c r="R21" s="37"/>
      <c r="S21" s="29"/>
    </row>
    <row r="22">
      <c r="A22" s="31">
        <v>18.0</v>
      </c>
      <c r="B22" s="37"/>
      <c r="C22" s="37"/>
      <c r="D22" s="37"/>
      <c r="E22" s="42"/>
      <c r="F22" s="37"/>
      <c r="G22" s="46">
        <f t="shared" si="1"/>
        <v>0</v>
      </c>
      <c r="H22" s="37"/>
      <c r="I22" s="29"/>
      <c r="K22" s="31">
        <v>18.0</v>
      </c>
      <c r="L22" s="37"/>
      <c r="M22" s="37"/>
      <c r="N22" s="37"/>
      <c r="O22" s="42"/>
      <c r="P22" s="37"/>
      <c r="Q22" s="46">
        <f t="shared" si="3"/>
        <v>0</v>
      </c>
      <c r="R22" s="37"/>
      <c r="S22" s="29"/>
    </row>
    <row r="23">
      <c r="A23" s="31">
        <v>19.0</v>
      </c>
      <c r="B23" s="37"/>
      <c r="C23" s="37"/>
      <c r="D23" s="37"/>
      <c r="E23" s="42"/>
      <c r="F23" s="37"/>
      <c r="G23" s="46">
        <f t="shared" si="1"/>
        <v>0</v>
      </c>
      <c r="H23" s="37"/>
      <c r="I23" s="29"/>
      <c r="K23" s="31">
        <v>19.0</v>
      </c>
      <c r="L23" s="37"/>
      <c r="M23" s="37"/>
      <c r="N23" s="37"/>
      <c r="O23" s="42"/>
      <c r="P23" s="37"/>
      <c r="Q23" s="46">
        <f t="shared" si="3"/>
        <v>0</v>
      </c>
      <c r="R23" s="37"/>
      <c r="S23" s="29"/>
    </row>
    <row r="24">
      <c r="A24" s="31">
        <v>20.0</v>
      </c>
      <c r="B24" s="37"/>
      <c r="C24" s="37"/>
      <c r="D24" s="37"/>
      <c r="E24" s="42"/>
      <c r="F24" s="37"/>
      <c r="G24" s="46">
        <f t="shared" si="1"/>
        <v>0</v>
      </c>
      <c r="H24" s="37"/>
      <c r="I24" s="29"/>
      <c r="K24" s="31">
        <v>20.0</v>
      </c>
      <c r="L24" s="37"/>
      <c r="M24" s="37"/>
      <c r="N24" s="37"/>
      <c r="O24" s="42"/>
      <c r="P24" s="37"/>
      <c r="Q24" s="46">
        <f t="shared" si="3"/>
        <v>0</v>
      </c>
      <c r="R24" s="37"/>
      <c r="S24" s="29"/>
    </row>
    <row r="25">
      <c r="A25" s="31">
        <v>21.0</v>
      </c>
      <c r="B25" s="37"/>
      <c r="C25" s="37"/>
      <c r="D25" s="37"/>
      <c r="E25" s="42"/>
      <c r="F25" s="37"/>
      <c r="G25" s="46">
        <f t="shared" si="1"/>
        <v>0</v>
      </c>
      <c r="H25" s="37"/>
      <c r="I25" s="29"/>
      <c r="K25" s="31">
        <v>21.0</v>
      </c>
      <c r="L25" s="37"/>
      <c r="M25" s="37"/>
      <c r="N25" s="37"/>
      <c r="O25" s="42"/>
      <c r="P25" s="37"/>
      <c r="Q25" s="46">
        <f t="shared" si="3"/>
        <v>0</v>
      </c>
      <c r="R25" s="37"/>
      <c r="S25" s="29"/>
    </row>
    <row r="26">
      <c r="A26" s="31">
        <v>22.0</v>
      </c>
      <c r="B26" s="37"/>
      <c r="C26" s="37"/>
      <c r="D26" s="37"/>
      <c r="E26" s="42"/>
      <c r="F26" s="37"/>
      <c r="G26" s="46">
        <f t="shared" si="1"/>
        <v>0</v>
      </c>
      <c r="H26" s="37"/>
      <c r="I26" s="29"/>
      <c r="K26" s="31">
        <v>22.0</v>
      </c>
      <c r="L26" s="37"/>
      <c r="M26" s="37"/>
      <c r="N26" s="37"/>
      <c r="O26" s="42"/>
      <c r="P26" s="37"/>
      <c r="Q26" s="46">
        <f t="shared" si="3"/>
        <v>0</v>
      </c>
      <c r="R26" s="37"/>
      <c r="S26" s="29"/>
    </row>
    <row r="27">
      <c r="A27" s="31">
        <v>23.0</v>
      </c>
      <c r="B27" s="37"/>
      <c r="C27" s="37"/>
      <c r="D27" s="37"/>
      <c r="E27" s="42"/>
      <c r="F27" s="37"/>
      <c r="G27" s="46">
        <f t="shared" si="1"/>
        <v>0</v>
      </c>
      <c r="H27" s="37"/>
      <c r="I27" s="29"/>
      <c r="K27" s="31">
        <v>23.0</v>
      </c>
      <c r="L27" s="37"/>
      <c r="M27" s="37"/>
      <c r="N27" s="37"/>
      <c r="O27" s="42"/>
      <c r="P27" s="37"/>
      <c r="Q27" s="46">
        <f t="shared" si="3"/>
        <v>0</v>
      </c>
      <c r="R27" s="37"/>
      <c r="S27" s="29"/>
    </row>
    <row r="28">
      <c r="A28" s="31">
        <v>24.0</v>
      </c>
      <c r="B28" s="37"/>
      <c r="C28" s="37"/>
      <c r="D28" s="37"/>
      <c r="E28" s="42"/>
      <c r="F28" s="37"/>
      <c r="G28" s="46">
        <f t="shared" si="1"/>
        <v>0</v>
      </c>
      <c r="H28" s="37"/>
      <c r="I28" s="29"/>
      <c r="K28" s="31">
        <v>24.0</v>
      </c>
      <c r="L28" s="37"/>
      <c r="M28" s="37"/>
      <c r="N28" s="37"/>
      <c r="O28" s="42"/>
      <c r="P28" s="37"/>
      <c r="Q28" s="46">
        <f t="shared" si="3"/>
        <v>0</v>
      </c>
      <c r="R28" s="37"/>
      <c r="S28" s="29"/>
    </row>
    <row r="29">
      <c r="A29" s="31">
        <v>25.0</v>
      </c>
      <c r="B29" s="37"/>
      <c r="C29" s="37"/>
      <c r="D29" s="37"/>
      <c r="E29" s="42"/>
      <c r="F29" s="37"/>
      <c r="G29" s="46">
        <f t="shared" si="1"/>
        <v>0</v>
      </c>
      <c r="H29" s="37"/>
      <c r="I29" s="29"/>
      <c r="K29" s="31">
        <v>25.0</v>
      </c>
      <c r="L29" s="37"/>
      <c r="M29" s="37"/>
      <c r="N29" s="37"/>
      <c r="O29" s="42"/>
      <c r="P29" s="37"/>
      <c r="Q29" s="46">
        <f t="shared" si="3"/>
        <v>0</v>
      </c>
      <c r="R29" s="37"/>
      <c r="S29" s="29"/>
    </row>
    <row r="30">
      <c r="A30" s="31">
        <v>26.0</v>
      </c>
      <c r="B30" s="37"/>
      <c r="C30" s="37"/>
      <c r="D30" s="37"/>
      <c r="E30" s="42"/>
      <c r="F30" s="37"/>
      <c r="G30" s="46">
        <f t="shared" si="1"/>
        <v>0</v>
      </c>
      <c r="H30" s="37"/>
      <c r="I30" s="29"/>
      <c r="K30" s="31">
        <v>26.0</v>
      </c>
      <c r="L30" s="37"/>
      <c r="M30" s="37"/>
      <c r="N30" s="37"/>
      <c r="O30" s="42"/>
      <c r="P30" s="37"/>
      <c r="Q30" s="46">
        <f t="shared" si="3"/>
        <v>0</v>
      </c>
      <c r="R30" s="37"/>
      <c r="S30" s="29"/>
    </row>
    <row r="31">
      <c r="A31" s="31">
        <v>27.0</v>
      </c>
      <c r="B31" s="37"/>
      <c r="C31" s="37"/>
      <c r="D31" s="37"/>
      <c r="E31" s="42"/>
      <c r="F31" s="37"/>
      <c r="G31" s="46">
        <f t="shared" si="1"/>
        <v>0</v>
      </c>
      <c r="H31" s="37"/>
      <c r="I31" s="29"/>
      <c r="K31" s="31">
        <v>27.0</v>
      </c>
      <c r="L31" s="37"/>
      <c r="M31" s="37"/>
      <c r="N31" s="37"/>
      <c r="O31" s="42"/>
      <c r="P31" s="37"/>
      <c r="Q31" s="46">
        <f t="shared" si="3"/>
        <v>0</v>
      </c>
      <c r="R31" s="37"/>
      <c r="S31" s="29"/>
    </row>
    <row r="32">
      <c r="A32" s="31">
        <v>28.0</v>
      </c>
      <c r="B32" s="37"/>
      <c r="C32" s="37"/>
      <c r="D32" s="37"/>
      <c r="E32" s="42"/>
      <c r="F32" s="37"/>
      <c r="G32" s="46">
        <f t="shared" si="1"/>
        <v>0</v>
      </c>
      <c r="H32" s="37"/>
      <c r="I32" s="29"/>
      <c r="K32" s="31">
        <v>28.0</v>
      </c>
      <c r="L32" s="37"/>
      <c r="M32" s="37"/>
      <c r="N32" s="37"/>
      <c r="O32" s="42"/>
      <c r="P32" s="37"/>
      <c r="Q32" s="46">
        <f t="shared" si="3"/>
        <v>0</v>
      </c>
      <c r="R32" s="37"/>
      <c r="S32" s="29"/>
    </row>
    <row r="33">
      <c r="A33" s="31">
        <v>29.0</v>
      </c>
      <c r="B33" s="37"/>
      <c r="C33" s="37"/>
      <c r="D33" s="37"/>
      <c r="E33" s="42"/>
      <c r="F33" s="37"/>
      <c r="G33" s="46">
        <f t="shared" si="1"/>
        <v>0</v>
      </c>
      <c r="H33" s="37"/>
      <c r="I33" s="29"/>
      <c r="K33" s="31">
        <v>29.0</v>
      </c>
      <c r="L33" s="37"/>
      <c r="M33" s="37"/>
      <c r="N33" s="37"/>
      <c r="O33" s="42"/>
      <c r="P33" s="37"/>
      <c r="Q33" s="46">
        <f t="shared" si="3"/>
        <v>0</v>
      </c>
      <c r="R33" s="37"/>
      <c r="S33" s="29"/>
    </row>
    <row r="34">
      <c r="A34" s="31">
        <v>30.0</v>
      </c>
      <c r="B34" s="37"/>
      <c r="C34" s="37"/>
      <c r="D34" s="37"/>
      <c r="E34" s="42"/>
      <c r="F34" s="37"/>
      <c r="G34" s="46">
        <f t="shared" si="1"/>
        <v>0</v>
      </c>
      <c r="H34" s="37"/>
      <c r="I34" s="29"/>
      <c r="K34" s="31">
        <v>30.0</v>
      </c>
      <c r="L34" s="37"/>
      <c r="M34" s="37"/>
      <c r="N34" s="37"/>
      <c r="O34" s="42"/>
      <c r="P34" s="37"/>
      <c r="Q34" s="46">
        <f t="shared" si="3"/>
        <v>0</v>
      </c>
      <c r="R34" s="37"/>
      <c r="S34" s="29"/>
    </row>
    <row r="35">
      <c r="A35" s="31">
        <v>31.0</v>
      </c>
      <c r="B35" s="37"/>
      <c r="C35" s="37"/>
      <c r="D35" s="37"/>
      <c r="E35" s="42"/>
      <c r="F35" s="37"/>
      <c r="G35" s="46">
        <f t="shared" si="1"/>
        <v>0</v>
      </c>
      <c r="H35" s="37"/>
      <c r="I35" s="29"/>
      <c r="K35" s="31">
        <v>31.0</v>
      </c>
      <c r="L35" s="37"/>
      <c r="M35" s="37"/>
      <c r="N35" s="37"/>
      <c r="O35" s="42"/>
      <c r="P35" s="37"/>
      <c r="Q35" s="46">
        <f t="shared" si="3"/>
        <v>0</v>
      </c>
      <c r="R35" s="37"/>
      <c r="S35" s="29"/>
    </row>
    <row r="36">
      <c r="A36" s="31">
        <v>32.0</v>
      </c>
      <c r="B36" s="37"/>
      <c r="C36" s="37"/>
      <c r="D36" s="37"/>
      <c r="E36" s="42"/>
      <c r="F36" s="37"/>
      <c r="G36" s="46">
        <f t="shared" si="1"/>
        <v>0</v>
      </c>
      <c r="H36" s="37"/>
      <c r="I36" s="29"/>
      <c r="K36" s="31">
        <v>32.0</v>
      </c>
      <c r="L36" s="37"/>
      <c r="M36" s="37"/>
      <c r="N36" s="37"/>
      <c r="O36" s="42"/>
      <c r="P36" s="37"/>
      <c r="Q36" s="46">
        <f t="shared" si="3"/>
        <v>0</v>
      </c>
      <c r="R36" s="37"/>
      <c r="S36" s="29"/>
    </row>
    <row r="37">
      <c r="A37" s="31">
        <v>33.0</v>
      </c>
      <c r="B37" s="37"/>
      <c r="C37" s="37"/>
      <c r="D37" s="37"/>
      <c r="E37" s="42"/>
      <c r="F37" s="37"/>
      <c r="G37" s="46">
        <f t="shared" si="1"/>
        <v>0</v>
      </c>
      <c r="H37" s="37"/>
      <c r="I37" s="29"/>
      <c r="K37" s="31">
        <v>33.0</v>
      </c>
      <c r="L37" s="37"/>
      <c r="M37" s="37"/>
      <c r="N37" s="37"/>
      <c r="O37" s="42"/>
      <c r="P37" s="37"/>
      <c r="Q37" s="46">
        <f t="shared" si="3"/>
        <v>0</v>
      </c>
      <c r="R37" s="37"/>
      <c r="S37" s="29"/>
    </row>
    <row r="38">
      <c r="A38" s="31">
        <v>34.0</v>
      </c>
      <c r="B38" s="37"/>
      <c r="C38" s="37"/>
      <c r="D38" s="37"/>
      <c r="E38" s="42"/>
      <c r="F38" s="37"/>
      <c r="G38" s="46">
        <f t="shared" si="1"/>
        <v>0</v>
      </c>
      <c r="H38" s="37"/>
      <c r="I38" s="29"/>
      <c r="K38" s="31">
        <v>34.0</v>
      </c>
      <c r="L38" s="37"/>
      <c r="M38" s="37"/>
      <c r="N38" s="37"/>
      <c r="O38" s="42"/>
      <c r="P38" s="37"/>
      <c r="Q38" s="46">
        <f t="shared" si="3"/>
        <v>0</v>
      </c>
      <c r="R38" s="37"/>
      <c r="S38" s="29"/>
    </row>
    <row r="39">
      <c r="A39" s="31">
        <v>35.0</v>
      </c>
      <c r="B39" s="37"/>
      <c r="C39" s="37"/>
      <c r="D39" s="37"/>
      <c r="E39" s="42"/>
      <c r="F39" s="37"/>
      <c r="G39" s="46">
        <f t="shared" si="1"/>
        <v>0</v>
      </c>
      <c r="H39" s="37"/>
      <c r="I39" s="29"/>
      <c r="K39" s="31">
        <v>35.0</v>
      </c>
      <c r="L39" s="37"/>
      <c r="M39" s="37"/>
      <c r="N39" s="37"/>
      <c r="O39" s="42"/>
      <c r="P39" s="37"/>
      <c r="Q39" s="46">
        <f t="shared" si="3"/>
        <v>0</v>
      </c>
      <c r="R39" s="37"/>
      <c r="S39" s="29"/>
    </row>
    <row r="40">
      <c r="A40" s="31">
        <v>36.0</v>
      </c>
      <c r="B40" s="37"/>
      <c r="C40" s="37"/>
      <c r="D40" s="37"/>
      <c r="E40" s="42"/>
      <c r="F40" s="37"/>
      <c r="G40" s="46">
        <f t="shared" si="1"/>
        <v>0</v>
      </c>
      <c r="H40" s="37"/>
      <c r="I40" s="29"/>
      <c r="K40" s="31">
        <v>36.0</v>
      </c>
      <c r="L40" s="37"/>
      <c r="M40" s="37"/>
      <c r="N40" s="37"/>
      <c r="O40" s="42"/>
      <c r="P40" s="37"/>
      <c r="Q40" s="46">
        <f t="shared" si="3"/>
        <v>0</v>
      </c>
      <c r="R40" s="37"/>
      <c r="S40" s="29"/>
    </row>
    <row r="41">
      <c r="A41" s="31">
        <v>37.0</v>
      </c>
      <c r="B41" s="37"/>
      <c r="C41" s="37"/>
      <c r="D41" s="37"/>
      <c r="E41" s="42"/>
      <c r="F41" s="37"/>
      <c r="G41" s="46">
        <f t="shared" si="1"/>
        <v>0</v>
      </c>
      <c r="H41" s="37"/>
      <c r="I41" s="29"/>
      <c r="K41" s="31">
        <v>37.0</v>
      </c>
      <c r="L41" s="37"/>
      <c r="M41" s="37"/>
      <c r="N41" s="37"/>
      <c r="O41" s="42"/>
      <c r="P41" s="37"/>
      <c r="Q41" s="46">
        <f t="shared" si="3"/>
        <v>0</v>
      </c>
      <c r="R41" s="37"/>
      <c r="S41" s="29"/>
    </row>
    <row r="42">
      <c r="A42" s="31">
        <v>38.0</v>
      </c>
      <c r="B42" s="37"/>
      <c r="C42" s="37"/>
      <c r="D42" s="37"/>
      <c r="E42" s="42"/>
      <c r="F42" s="37"/>
      <c r="G42" s="46">
        <f t="shared" si="1"/>
        <v>0</v>
      </c>
      <c r="H42" s="37"/>
      <c r="I42" s="29"/>
      <c r="K42" s="31">
        <v>38.0</v>
      </c>
      <c r="L42" s="37"/>
      <c r="M42" s="37"/>
      <c r="N42" s="37"/>
      <c r="O42" s="42"/>
      <c r="P42" s="37"/>
      <c r="Q42" s="46">
        <f t="shared" si="3"/>
        <v>0</v>
      </c>
      <c r="R42" s="37"/>
      <c r="S42" s="29"/>
    </row>
    <row r="43">
      <c r="A43" s="1" t="s">
        <v>28</v>
      </c>
      <c r="B43" s="40">
        <f>countif(B4:B42,"*")</f>
        <v>3</v>
      </c>
      <c r="C43" s="37"/>
      <c r="D43" s="37"/>
      <c r="E43" s="37"/>
      <c r="F43" s="37"/>
      <c r="G43" s="37"/>
      <c r="H43" s="37"/>
      <c r="I43" s="37"/>
      <c r="K43" s="1" t="s">
        <v>28</v>
      </c>
      <c r="L43" s="40">
        <f>countif(L4:L42,"*")</f>
        <v>6</v>
      </c>
      <c r="M43" s="37"/>
      <c r="N43" s="37"/>
      <c r="O43" s="37"/>
      <c r="P43" s="37"/>
      <c r="Q43" s="37"/>
      <c r="R43" s="37"/>
      <c r="S43" s="37"/>
    </row>
  </sheetData>
  <mergeCells count="20">
    <mergeCell ref="L2:M2"/>
    <mergeCell ref="N2:O2"/>
    <mergeCell ref="K3:K4"/>
    <mergeCell ref="L3:L4"/>
    <mergeCell ref="M3:M4"/>
    <mergeCell ref="N3:N4"/>
    <mergeCell ref="B2:C2"/>
    <mergeCell ref="A3:A4"/>
    <mergeCell ref="B3:B4"/>
    <mergeCell ref="C3:C4"/>
    <mergeCell ref="D3:D4"/>
    <mergeCell ref="P2:R2"/>
    <mergeCell ref="O3:R3"/>
    <mergeCell ref="A1:H1"/>
    <mergeCell ref="I1:I3"/>
    <mergeCell ref="K1:R1"/>
    <mergeCell ref="S1:S3"/>
    <mergeCell ref="D2:E2"/>
    <mergeCell ref="F2:H2"/>
    <mergeCell ref="E3:H3"/>
  </mergeCells>
  <dataValidations>
    <dataValidation type="list" allowBlank="1" sqref="D5:D42 N5:N42">
      <formula1>Data!$A$2:$A$12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4" max="4" width="7.38"/>
    <col customWidth="1" min="5" max="5" width="10.13"/>
    <col customWidth="1" min="6" max="7" width="7.38"/>
    <col customWidth="1" min="8" max="8" width="16.63"/>
    <col customWidth="1" min="11" max="11" width="4.75"/>
    <col customWidth="1" min="13" max="13" width="17.88"/>
    <col customWidth="1" min="18" max="18" width="25.88"/>
  </cols>
  <sheetData>
    <row r="1">
      <c r="A1" s="3" t="s">
        <v>369</v>
      </c>
      <c r="B1" s="5"/>
      <c r="C1" s="5"/>
      <c r="D1" s="5"/>
      <c r="E1" s="5"/>
      <c r="F1" s="5"/>
      <c r="G1" s="5"/>
      <c r="H1" s="6"/>
      <c r="I1" s="8" t="s">
        <v>17</v>
      </c>
      <c r="K1" s="3" t="s">
        <v>370</v>
      </c>
      <c r="L1" s="5"/>
      <c r="M1" s="5"/>
      <c r="N1" s="5"/>
      <c r="O1" s="5"/>
      <c r="P1" s="5"/>
      <c r="Q1" s="5"/>
      <c r="R1" s="6"/>
      <c r="S1" s="8" t="s">
        <v>17</v>
      </c>
    </row>
    <row r="2">
      <c r="A2" s="25"/>
      <c r="B2" s="18"/>
      <c r="C2" s="5"/>
      <c r="D2" s="160"/>
      <c r="E2" s="6"/>
      <c r="F2" s="160"/>
      <c r="G2" s="5"/>
      <c r="H2" s="6"/>
      <c r="I2" s="138"/>
      <c r="K2" s="25"/>
      <c r="L2" s="18"/>
      <c r="M2" s="5"/>
      <c r="N2" s="160"/>
      <c r="O2" s="6"/>
      <c r="P2" s="160"/>
      <c r="Q2" s="5"/>
      <c r="R2" s="6"/>
      <c r="S2" s="138"/>
    </row>
    <row r="3">
      <c r="A3" s="14" t="s">
        <v>21</v>
      </c>
      <c r="B3" s="14" t="s">
        <v>22</v>
      </c>
      <c r="C3" s="14" t="s">
        <v>24</v>
      </c>
      <c r="D3" s="14" t="s">
        <v>0</v>
      </c>
      <c r="E3" s="18" t="s">
        <v>26</v>
      </c>
      <c r="F3" s="5"/>
      <c r="G3" s="5"/>
      <c r="H3" s="6"/>
      <c r="I3" s="15"/>
      <c r="K3" s="14" t="s">
        <v>21</v>
      </c>
      <c r="L3" s="14" t="s">
        <v>22</v>
      </c>
      <c r="M3" s="14" t="s">
        <v>24</v>
      </c>
      <c r="N3" s="14" t="s">
        <v>0</v>
      </c>
      <c r="O3" s="18" t="s">
        <v>26</v>
      </c>
      <c r="P3" s="5"/>
      <c r="Q3" s="5"/>
      <c r="R3" s="6"/>
      <c r="S3" s="15"/>
    </row>
    <row r="4">
      <c r="A4" s="15"/>
      <c r="B4" s="15"/>
      <c r="C4" s="15"/>
      <c r="D4" s="15"/>
      <c r="E4" s="25" t="s">
        <v>34</v>
      </c>
      <c r="F4" s="25" t="s">
        <v>35</v>
      </c>
      <c r="G4" s="25" t="s">
        <v>36</v>
      </c>
      <c r="H4" s="25" t="s">
        <v>37</v>
      </c>
      <c r="I4" s="29"/>
      <c r="K4" s="15"/>
      <c r="L4" s="15"/>
      <c r="M4" s="15"/>
      <c r="N4" s="15"/>
      <c r="O4" s="25" t="s">
        <v>34</v>
      </c>
      <c r="P4" s="25" t="s">
        <v>35</v>
      </c>
      <c r="Q4" s="25" t="s">
        <v>36</v>
      </c>
      <c r="R4" s="25" t="s">
        <v>37</v>
      </c>
      <c r="S4" s="29"/>
    </row>
    <row r="5">
      <c r="A5" s="31">
        <v>1.0</v>
      </c>
      <c r="B5" s="1"/>
      <c r="C5" s="1"/>
      <c r="D5" s="1"/>
      <c r="E5" s="42"/>
      <c r="F5" s="1"/>
      <c r="G5" s="46">
        <f t="shared" ref="G5:G42" si="1">E5-F5</f>
        <v>0</v>
      </c>
      <c r="H5" s="1"/>
      <c r="I5" s="29"/>
      <c r="K5" s="31">
        <v>1.0</v>
      </c>
      <c r="L5" s="163" t="s">
        <v>276</v>
      </c>
      <c r="M5" s="1">
        <v>1.00548868E9</v>
      </c>
      <c r="N5" s="1" t="s">
        <v>15</v>
      </c>
      <c r="O5" s="42">
        <v>650.0</v>
      </c>
      <c r="P5" s="1">
        <v>575.0</v>
      </c>
      <c r="Q5" s="46">
        <f t="shared" ref="Q5:Q42" si="2">O5-P5</f>
        <v>75</v>
      </c>
      <c r="R5" s="1" t="s">
        <v>371</v>
      </c>
      <c r="S5" s="29"/>
    </row>
    <row r="6">
      <c r="A6" s="31">
        <v>2.0</v>
      </c>
      <c r="B6" s="1"/>
      <c r="C6" s="37"/>
      <c r="D6" s="1"/>
      <c r="E6" s="42"/>
      <c r="F6" s="37"/>
      <c r="G6" s="46">
        <f t="shared" si="1"/>
        <v>0</v>
      </c>
      <c r="H6" s="1"/>
      <c r="I6" s="29"/>
      <c r="K6" s="31">
        <v>2.0</v>
      </c>
      <c r="L6" s="62" t="s">
        <v>272</v>
      </c>
      <c r="M6" s="1"/>
      <c r="N6" s="1" t="s">
        <v>15</v>
      </c>
      <c r="O6" s="42">
        <v>650.0</v>
      </c>
      <c r="P6" s="1">
        <v>650.0</v>
      </c>
      <c r="Q6" s="46">
        <f t="shared" si="2"/>
        <v>0</v>
      </c>
      <c r="R6" s="1"/>
      <c r="S6" s="29"/>
    </row>
    <row r="7">
      <c r="A7" s="31">
        <v>3.0</v>
      </c>
      <c r="B7" s="1"/>
      <c r="C7" s="37"/>
      <c r="D7" s="1"/>
      <c r="E7" s="42"/>
      <c r="F7" s="1"/>
      <c r="G7" s="46">
        <f t="shared" si="1"/>
        <v>0</v>
      </c>
      <c r="H7" s="1"/>
      <c r="I7" s="29"/>
      <c r="K7" s="31">
        <v>3.0</v>
      </c>
      <c r="L7" s="163" t="s">
        <v>368</v>
      </c>
      <c r="M7" s="1">
        <v>1.227447039E9</v>
      </c>
      <c r="N7" s="1" t="s">
        <v>15</v>
      </c>
      <c r="O7" s="42">
        <v>550.0</v>
      </c>
      <c r="P7" s="1">
        <v>500.0</v>
      </c>
      <c r="Q7" s="46">
        <f t="shared" si="2"/>
        <v>50</v>
      </c>
      <c r="R7" s="172" t="s">
        <v>346</v>
      </c>
      <c r="S7" s="29"/>
    </row>
    <row r="8">
      <c r="A8" s="31">
        <v>4.0</v>
      </c>
      <c r="B8" s="1"/>
      <c r="C8" s="37"/>
      <c r="D8" s="1"/>
      <c r="E8" s="42"/>
      <c r="F8" s="1"/>
      <c r="G8" s="46">
        <f t="shared" si="1"/>
        <v>0</v>
      </c>
      <c r="H8" s="1"/>
      <c r="I8" s="29"/>
      <c r="K8" s="31">
        <v>4.0</v>
      </c>
      <c r="L8" s="1" t="s">
        <v>275</v>
      </c>
      <c r="M8" s="37"/>
      <c r="N8" s="1" t="s">
        <v>15</v>
      </c>
      <c r="O8" s="42">
        <v>550.0</v>
      </c>
      <c r="P8" s="1">
        <v>550.0</v>
      </c>
      <c r="Q8" s="46">
        <f t="shared" si="2"/>
        <v>0</v>
      </c>
      <c r="R8" s="1"/>
      <c r="S8" s="29"/>
    </row>
    <row r="9">
      <c r="A9" s="31">
        <v>5.0</v>
      </c>
      <c r="B9" s="1"/>
      <c r="C9" s="37"/>
      <c r="D9" s="1"/>
      <c r="E9" s="42"/>
      <c r="F9" s="37"/>
      <c r="G9" s="46">
        <f t="shared" si="1"/>
        <v>0</v>
      </c>
      <c r="H9" s="1"/>
      <c r="I9" s="29"/>
      <c r="K9" s="31">
        <v>5.0</v>
      </c>
      <c r="L9" s="1" t="s">
        <v>372</v>
      </c>
      <c r="M9" s="37"/>
      <c r="N9" s="1" t="s">
        <v>15</v>
      </c>
      <c r="O9" s="42">
        <v>650.0</v>
      </c>
      <c r="P9" s="1">
        <v>650.0</v>
      </c>
      <c r="Q9" s="46">
        <f t="shared" si="2"/>
        <v>0</v>
      </c>
      <c r="R9" s="1"/>
      <c r="S9" s="29"/>
    </row>
    <row r="10">
      <c r="A10" s="31">
        <v>6.0</v>
      </c>
      <c r="B10" s="1"/>
      <c r="C10" s="37"/>
      <c r="D10" s="1"/>
      <c r="E10" s="42"/>
      <c r="F10" s="1"/>
      <c r="G10" s="46">
        <f t="shared" si="1"/>
        <v>0</v>
      </c>
      <c r="H10" s="1"/>
      <c r="I10" s="29"/>
      <c r="K10" s="31">
        <v>6.0</v>
      </c>
      <c r="L10" s="1"/>
      <c r="M10" s="37"/>
      <c r="N10" s="1"/>
      <c r="O10" s="42"/>
      <c r="P10" s="1"/>
      <c r="Q10" s="46">
        <f t="shared" si="2"/>
        <v>0</v>
      </c>
      <c r="R10" s="1"/>
      <c r="S10" s="29"/>
    </row>
    <row r="11">
      <c r="A11" s="31">
        <v>7.0</v>
      </c>
      <c r="B11" s="1"/>
      <c r="C11" s="37"/>
      <c r="D11" s="1"/>
      <c r="E11" s="42"/>
      <c r="F11" s="37"/>
      <c r="G11" s="46">
        <f t="shared" si="1"/>
        <v>0</v>
      </c>
      <c r="H11" s="1"/>
      <c r="I11" s="29"/>
      <c r="K11" s="31">
        <v>7.0</v>
      </c>
      <c r="L11" s="1"/>
      <c r="M11" s="37"/>
      <c r="N11" s="1"/>
      <c r="O11" s="42"/>
      <c r="P11" s="37"/>
      <c r="Q11" s="46">
        <f t="shared" si="2"/>
        <v>0</v>
      </c>
      <c r="R11" s="1"/>
      <c r="S11" s="29"/>
    </row>
    <row r="12">
      <c r="A12" s="31">
        <v>8.0</v>
      </c>
      <c r="B12" s="1"/>
      <c r="C12" s="37"/>
      <c r="D12" s="1"/>
      <c r="E12" s="42"/>
      <c r="F12" s="1"/>
      <c r="G12" s="46">
        <f t="shared" si="1"/>
        <v>0</v>
      </c>
      <c r="H12" s="1"/>
      <c r="I12" s="29"/>
      <c r="K12" s="31">
        <v>8.0</v>
      </c>
      <c r="L12" s="1"/>
      <c r="M12" s="37"/>
      <c r="N12" s="1"/>
      <c r="O12" s="42"/>
      <c r="P12" s="1"/>
      <c r="Q12" s="46">
        <f t="shared" si="2"/>
        <v>0</v>
      </c>
      <c r="R12" s="1"/>
      <c r="S12" s="29"/>
    </row>
    <row r="13">
      <c r="A13" s="31">
        <v>9.0</v>
      </c>
      <c r="B13" s="1"/>
      <c r="C13" s="37"/>
      <c r="D13" s="1"/>
      <c r="E13" s="42"/>
      <c r="F13" s="37"/>
      <c r="G13" s="46">
        <f t="shared" si="1"/>
        <v>0</v>
      </c>
      <c r="H13" s="37"/>
      <c r="I13" s="29"/>
      <c r="K13" s="31">
        <v>9.0</v>
      </c>
      <c r="L13" s="1"/>
      <c r="M13" s="37"/>
      <c r="N13" s="1"/>
      <c r="O13" s="42"/>
      <c r="P13" s="37"/>
      <c r="Q13" s="46">
        <f t="shared" si="2"/>
        <v>0</v>
      </c>
      <c r="R13" s="37"/>
      <c r="S13" s="29"/>
    </row>
    <row r="14">
      <c r="A14" s="31">
        <v>10.0</v>
      </c>
      <c r="B14" s="37"/>
      <c r="C14" s="37"/>
      <c r="D14" s="37"/>
      <c r="E14" s="42"/>
      <c r="F14" s="37"/>
      <c r="G14" s="46">
        <f t="shared" si="1"/>
        <v>0</v>
      </c>
      <c r="H14" s="37"/>
      <c r="I14" s="29"/>
      <c r="K14" s="31">
        <v>10.0</v>
      </c>
      <c r="L14" s="37"/>
      <c r="M14" s="37"/>
      <c r="N14" s="37"/>
      <c r="O14" s="42"/>
      <c r="P14" s="37"/>
      <c r="Q14" s="46">
        <f t="shared" si="2"/>
        <v>0</v>
      </c>
      <c r="R14" s="37"/>
      <c r="S14" s="29"/>
    </row>
    <row r="15">
      <c r="A15" s="31">
        <v>11.0</v>
      </c>
      <c r="B15" s="37"/>
      <c r="C15" s="37"/>
      <c r="D15" s="37"/>
      <c r="E15" s="42"/>
      <c r="F15" s="37"/>
      <c r="G15" s="46">
        <f t="shared" si="1"/>
        <v>0</v>
      </c>
      <c r="H15" s="37"/>
      <c r="I15" s="29"/>
      <c r="K15" s="31">
        <v>11.0</v>
      </c>
      <c r="L15" s="37"/>
      <c r="M15" s="37"/>
      <c r="N15" s="37"/>
      <c r="O15" s="42"/>
      <c r="P15" s="37"/>
      <c r="Q15" s="46">
        <f t="shared" si="2"/>
        <v>0</v>
      </c>
      <c r="R15" s="37"/>
      <c r="S15" s="29"/>
    </row>
    <row r="16">
      <c r="A16" s="31">
        <v>12.0</v>
      </c>
      <c r="B16" s="37"/>
      <c r="C16" s="37"/>
      <c r="D16" s="37"/>
      <c r="E16" s="42"/>
      <c r="F16" s="37"/>
      <c r="G16" s="46">
        <f t="shared" si="1"/>
        <v>0</v>
      </c>
      <c r="H16" s="37"/>
      <c r="I16" s="29"/>
      <c r="K16" s="31">
        <v>12.0</v>
      </c>
      <c r="L16" s="37"/>
      <c r="M16" s="37"/>
      <c r="N16" s="37"/>
      <c r="O16" s="42"/>
      <c r="P16" s="37"/>
      <c r="Q16" s="46">
        <f t="shared" si="2"/>
        <v>0</v>
      </c>
      <c r="R16" s="37"/>
      <c r="S16" s="29"/>
    </row>
    <row r="17">
      <c r="A17" s="31">
        <v>13.0</v>
      </c>
      <c r="B17" s="37"/>
      <c r="C17" s="37"/>
      <c r="D17" s="37"/>
      <c r="E17" s="42"/>
      <c r="F17" s="37"/>
      <c r="G17" s="46">
        <f t="shared" si="1"/>
        <v>0</v>
      </c>
      <c r="H17" s="37"/>
      <c r="I17" s="29"/>
      <c r="K17" s="31">
        <v>13.0</v>
      </c>
      <c r="L17" s="37"/>
      <c r="M17" s="37"/>
      <c r="N17" s="37"/>
      <c r="O17" s="42"/>
      <c r="P17" s="37"/>
      <c r="Q17" s="46">
        <f t="shared" si="2"/>
        <v>0</v>
      </c>
      <c r="R17" s="37"/>
      <c r="S17" s="29"/>
    </row>
    <row r="18">
      <c r="A18" s="31">
        <v>14.0</v>
      </c>
      <c r="B18" s="37"/>
      <c r="C18" s="37"/>
      <c r="D18" s="37"/>
      <c r="E18" s="42"/>
      <c r="F18" s="37"/>
      <c r="G18" s="46">
        <f t="shared" si="1"/>
        <v>0</v>
      </c>
      <c r="H18" s="37"/>
      <c r="I18" s="29"/>
      <c r="K18" s="31">
        <v>14.0</v>
      </c>
      <c r="L18" s="37"/>
      <c r="M18" s="37"/>
      <c r="N18" s="37"/>
      <c r="O18" s="42"/>
      <c r="P18" s="37"/>
      <c r="Q18" s="46">
        <f t="shared" si="2"/>
        <v>0</v>
      </c>
      <c r="R18" s="37"/>
      <c r="S18" s="29"/>
    </row>
    <row r="19">
      <c r="A19" s="31">
        <v>15.0</v>
      </c>
      <c r="B19" s="37"/>
      <c r="C19" s="37"/>
      <c r="D19" s="37"/>
      <c r="E19" s="42"/>
      <c r="F19" s="37"/>
      <c r="G19" s="46">
        <f t="shared" si="1"/>
        <v>0</v>
      </c>
      <c r="H19" s="37"/>
      <c r="I19" s="29"/>
      <c r="K19" s="31">
        <v>15.0</v>
      </c>
      <c r="L19" s="37"/>
      <c r="M19" s="37"/>
      <c r="N19" s="37"/>
      <c r="O19" s="42"/>
      <c r="P19" s="37"/>
      <c r="Q19" s="46">
        <f t="shared" si="2"/>
        <v>0</v>
      </c>
      <c r="R19" s="37"/>
      <c r="S19" s="29"/>
    </row>
    <row r="20">
      <c r="A20" s="31">
        <v>16.0</v>
      </c>
      <c r="B20" s="37"/>
      <c r="C20" s="37"/>
      <c r="D20" s="37"/>
      <c r="E20" s="42"/>
      <c r="F20" s="37"/>
      <c r="G20" s="46">
        <f t="shared" si="1"/>
        <v>0</v>
      </c>
      <c r="H20" s="37"/>
      <c r="I20" s="29"/>
      <c r="K20" s="31">
        <v>16.0</v>
      </c>
      <c r="L20" s="37"/>
      <c r="M20" s="37"/>
      <c r="N20" s="37"/>
      <c r="O20" s="42"/>
      <c r="P20" s="37"/>
      <c r="Q20" s="46">
        <f t="shared" si="2"/>
        <v>0</v>
      </c>
      <c r="R20" s="37"/>
      <c r="S20" s="29"/>
    </row>
    <row r="21">
      <c r="A21" s="31">
        <v>17.0</v>
      </c>
      <c r="B21" s="37"/>
      <c r="C21" s="37"/>
      <c r="D21" s="37"/>
      <c r="E21" s="42"/>
      <c r="F21" s="37"/>
      <c r="G21" s="46">
        <f t="shared" si="1"/>
        <v>0</v>
      </c>
      <c r="H21" s="37"/>
      <c r="I21" s="29"/>
      <c r="K21" s="31">
        <v>17.0</v>
      </c>
      <c r="L21" s="37"/>
      <c r="M21" s="37"/>
      <c r="N21" s="37"/>
      <c r="O21" s="42"/>
      <c r="P21" s="37"/>
      <c r="Q21" s="46">
        <f t="shared" si="2"/>
        <v>0</v>
      </c>
      <c r="R21" s="37"/>
      <c r="S21" s="29"/>
    </row>
    <row r="22">
      <c r="A22" s="31">
        <v>18.0</v>
      </c>
      <c r="B22" s="37"/>
      <c r="C22" s="37"/>
      <c r="D22" s="37"/>
      <c r="E22" s="42"/>
      <c r="F22" s="37"/>
      <c r="G22" s="46">
        <f t="shared" si="1"/>
        <v>0</v>
      </c>
      <c r="H22" s="37"/>
      <c r="I22" s="29"/>
      <c r="K22" s="31">
        <v>18.0</v>
      </c>
      <c r="L22" s="37"/>
      <c r="M22" s="37"/>
      <c r="N22" s="37"/>
      <c r="O22" s="42"/>
      <c r="P22" s="37"/>
      <c r="Q22" s="46">
        <f t="shared" si="2"/>
        <v>0</v>
      </c>
      <c r="R22" s="37"/>
      <c r="S22" s="29"/>
    </row>
    <row r="23">
      <c r="A23" s="31">
        <v>19.0</v>
      </c>
      <c r="B23" s="37"/>
      <c r="C23" s="37"/>
      <c r="D23" s="37"/>
      <c r="E23" s="42"/>
      <c r="F23" s="37"/>
      <c r="G23" s="46">
        <f t="shared" si="1"/>
        <v>0</v>
      </c>
      <c r="H23" s="37"/>
      <c r="I23" s="29"/>
      <c r="K23" s="31">
        <v>19.0</v>
      </c>
      <c r="L23" s="37"/>
      <c r="M23" s="37"/>
      <c r="N23" s="37"/>
      <c r="O23" s="42"/>
      <c r="P23" s="37"/>
      <c r="Q23" s="46">
        <f t="shared" si="2"/>
        <v>0</v>
      </c>
      <c r="R23" s="37"/>
      <c r="S23" s="29"/>
    </row>
    <row r="24">
      <c r="A24" s="31">
        <v>20.0</v>
      </c>
      <c r="B24" s="37"/>
      <c r="C24" s="37"/>
      <c r="D24" s="37"/>
      <c r="E24" s="42"/>
      <c r="F24" s="37"/>
      <c r="G24" s="46">
        <f t="shared" si="1"/>
        <v>0</v>
      </c>
      <c r="H24" s="37"/>
      <c r="I24" s="29"/>
      <c r="K24" s="31">
        <v>20.0</v>
      </c>
      <c r="L24" s="37"/>
      <c r="M24" s="37"/>
      <c r="N24" s="37"/>
      <c r="O24" s="42"/>
      <c r="P24" s="37"/>
      <c r="Q24" s="46">
        <f t="shared" si="2"/>
        <v>0</v>
      </c>
      <c r="R24" s="37"/>
      <c r="S24" s="29"/>
    </row>
    <row r="25">
      <c r="A25" s="31">
        <v>21.0</v>
      </c>
      <c r="B25" s="37"/>
      <c r="C25" s="37"/>
      <c r="D25" s="37"/>
      <c r="E25" s="42"/>
      <c r="F25" s="37"/>
      <c r="G25" s="46">
        <f t="shared" si="1"/>
        <v>0</v>
      </c>
      <c r="H25" s="37"/>
      <c r="I25" s="29"/>
      <c r="K25" s="31">
        <v>21.0</v>
      </c>
      <c r="L25" s="37"/>
      <c r="M25" s="37"/>
      <c r="N25" s="37"/>
      <c r="O25" s="42"/>
      <c r="P25" s="37"/>
      <c r="Q25" s="46">
        <f t="shared" si="2"/>
        <v>0</v>
      </c>
      <c r="R25" s="37"/>
      <c r="S25" s="29"/>
    </row>
    <row r="26">
      <c r="A26" s="31">
        <v>22.0</v>
      </c>
      <c r="B26" s="37"/>
      <c r="C26" s="37"/>
      <c r="D26" s="37"/>
      <c r="E26" s="42"/>
      <c r="F26" s="37"/>
      <c r="G26" s="46">
        <f t="shared" si="1"/>
        <v>0</v>
      </c>
      <c r="H26" s="37"/>
      <c r="I26" s="29"/>
      <c r="K26" s="31">
        <v>22.0</v>
      </c>
      <c r="L26" s="37"/>
      <c r="M26" s="37"/>
      <c r="N26" s="37"/>
      <c r="O26" s="42"/>
      <c r="P26" s="37"/>
      <c r="Q26" s="46">
        <f t="shared" si="2"/>
        <v>0</v>
      </c>
      <c r="R26" s="37"/>
      <c r="S26" s="29"/>
    </row>
    <row r="27">
      <c r="A27" s="31">
        <v>23.0</v>
      </c>
      <c r="B27" s="37"/>
      <c r="C27" s="37"/>
      <c r="D27" s="37"/>
      <c r="E27" s="42"/>
      <c r="F27" s="37"/>
      <c r="G27" s="46">
        <f t="shared" si="1"/>
        <v>0</v>
      </c>
      <c r="H27" s="37"/>
      <c r="I27" s="29"/>
      <c r="K27" s="31">
        <v>23.0</v>
      </c>
      <c r="L27" s="37"/>
      <c r="M27" s="37"/>
      <c r="N27" s="37"/>
      <c r="O27" s="42"/>
      <c r="P27" s="37"/>
      <c r="Q27" s="46">
        <f t="shared" si="2"/>
        <v>0</v>
      </c>
      <c r="R27" s="37"/>
      <c r="S27" s="29"/>
    </row>
    <row r="28">
      <c r="A28" s="31">
        <v>24.0</v>
      </c>
      <c r="B28" s="37"/>
      <c r="C28" s="37"/>
      <c r="D28" s="37"/>
      <c r="E28" s="42"/>
      <c r="F28" s="37"/>
      <c r="G28" s="46">
        <f t="shared" si="1"/>
        <v>0</v>
      </c>
      <c r="H28" s="37"/>
      <c r="I28" s="29"/>
      <c r="K28" s="31">
        <v>24.0</v>
      </c>
      <c r="L28" s="37"/>
      <c r="M28" s="37"/>
      <c r="N28" s="37"/>
      <c r="O28" s="42"/>
      <c r="P28" s="37"/>
      <c r="Q28" s="46">
        <f t="shared" si="2"/>
        <v>0</v>
      </c>
      <c r="R28" s="37"/>
      <c r="S28" s="29"/>
    </row>
    <row r="29">
      <c r="A29" s="31">
        <v>25.0</v>
      </c>
      <c r="B29" s="37"/>
      <c r="C29" s="37"/>
      <c r="D29" s="37"/>
      <c r="E29" s="42"/>
      <c r="F29" s="37"/>
      <c r="G29" s="46">
        <f t="shared" si="1"/>
        <v>0</v>
      </c>
      <c r="H29" s="37"/>
      <c r="I29" s="29"/>
      <c r="K29" s="31">
        <v>25.0</v>
      </c>
      <c r="L29" s="37"/>
      <c r="M29" s="37"/>
      <c r="N29" s="37"/>
      <c r="O29" s="42"/>
      <c r="P29" s="37"/>
      <c r="Q29" s="46">
        <f t="shared" si="2"/>
        <v>0</v>
      </c>
      <c r="R29" s="37"/>
      <c r="S29" s="29"/>
    </row>
    <row r="30">
      <c r="A30" s="31">
        <v>26.0</v>
      </c>
      <c r="B30" s="37"/>
      <c r="C30" s="37"/>
      <c r="D30" s="37"/>
      <c r="E30" s="42"/>
      <c r="F30" s="37"/>
      <c r="G30" s="46">
        <f t="shared" si="1"/>
        <v>0</v>
      </c>
      <c r="H30" s="37"/>
      <c r="I30" s="29"/>
      <c r="K30" s="31">
        <v>26.0</v>
      </c>
      <c r="L30" s="37"/>
      <c r="M30" s="37"/>
      <c r="N30" s="37"/>
      <c r="O30" s="42"/>
      <c r="P30" s="37"/>
      <c r="Q30" s="46">
        <f t="shared" si="2"/>
        <v>0</v>
      </c>
      <c r="R30" s="37"/>
      <c r="S30" s="29"/>
    </row>
    <row r="31">
      <c r="A31" s="31">
        <v>27.0</v>
      </c>
      <c r="B31" s="37"/>
      <c r="C31" s="37"/>
      <c r="D31" s="37"/>
      <c r="E31" s="42"/>
      <c r="F31" s="37"/>
      <c r="G31" s="46">
        <f t="shared" si="1"/>
        <v>0</v>
      </c>
      <c r="H31" s="37"/>
      <c r="I31" s="29"/>
      <c r="K31" s="31">
        <v>27.0</v>
      </c>
      <c r="L31" s="37"/>
      <c r="M31" s="37"/>
      <c r="N31" s="37"/>
      <c r="O31" s="42"/>
      <c r="P31" s="37"/>
      <c r="Q31" s="46">
        <f t="shared" si="2"/>
        <v>0</v>
      </c>
      <c r="R31" s="37"/>
      <c r="S31" s="29"/>
    </row>
    <row r="32">
      <c r="A32" s="31">
        <v>28.0</v>
      </c>
      <c r="B32" s="37"/>
      <c r="C32" s="37"/>
      <c r="D32" s="37"/>
      <c r="E32" s="42"/>
      <c r="F32" s="37"/>
      <c r="G32" s="46">
        <f t="shared" si="1"/>
        <v>0</v>
      </c>
      <c r="H32" s="37"/>
      <c r="I32" s="29"/>
      <c r="K32" s="31">
        <v>28.0</v>
      </c>
      <c r="L32" s="37"/>
      <c r="M32" s="37"/>
      <c r="N32" s="37"/>
      <c r="O32" s="42"/>
      <c r="P32" s="37"/>
      <c r="Q32" s="46">
        <f t="shared" si="2"/>
        <v>0</v>
      </c>
      <c r="R32" s="37"/>
      <c r="S32" s="29"/>
    </row>
    <row r="33">
      <c r="A33" s="31">
        <v>29.0</v>
      </c>
      <c r="B33" s="37"/>
      <c r="C33" s="37"/>
      <c r="D33" s="37"/>
      <c r="E33" s="42"/>
      <c r="F33" s="37"/>
      <c r="G33" s="46">
        <f t="shared" si="1"/>
        <v>0</v>
      </c>
      <c r="H33" s="37"/>
      <c r="I33" s="29"/>
      <c r="K33" s="31">
        <v>29.0</v>
      </c>
      <c r="L33" s="37"/>
      <c r="M33" s="37"/>
      <c r="N33" s="37"/>
      <c r="O33" s="42"/>
      <c r="P33" s="37"/>
      <c r="Q33" s="46">
        <f t="shared" si="2"/>
        <v>0</v>
      </c>
      <c r="R33" s="37"/>
      <c r="S33" s="29"/>
    </row>
    <row r="34">
      <c r="A34" s="31">
        <v>30.0</v>
      </c>
      <c r="B34" s="37"/>
      <c r="C34" s="37"/>
      <c r="D34" s="37"/>
      <c r="E34" s="42"/>
      <c r="F34" s="37"/>
      <c r="G34" s="46">
        <f t="shared" si="1"/>
        <v>0</v>
      </c>
      <c r="H34" s="37"/>
      <c r="I34" s="29"/>
      <c r="K34" s="31">
        <v>30.0</v>
      </c>
      <c r="L34" s="37"/>
      <c r="M34" s="37"/>
      <c r="N34" s="37"/>
      <c r="O34" s="42"/>
      <c r="P34" s="37"/>
      <c r="Q34" s="46">
        <f t="shared" si="2"/>
        <v>0</v>
      </c>
      <c r="R34" s="37"/>
      <c r="S34" s="29"/>
    </row>
    <row r="35">
      <c r="A35" s="31">
        <v>31.0</v>
      </c>
      <c r="B35" s="37"/>
      <c r="C35" s="37"/>
      <c r="D35" s="37"/>
      <c r="E35" s="42"/>
      <c r="F35" s="37"/>
      <c r="G35" s="46">
        <f t="shared" si="1"/>
        <v>0</v>
      </c>
      <c r="H35" s="37"/>
      <c r="I35" s="29"/>
      <c r="K35" s="31">
        <v>31.0</v>
      </c>
      <c r="L35" s="37"/>
      <c r="M35" s="37"/>
      <c r="N35" s="37"/>
      <c r="O35" s="42"/>
      <c r="P35" s="37"/>
      <c r="Q35" s="46">
        <f t="shared" si="2"/>
        <v>0</v>
      </c>
      <c r="R35" s="37"/>
      <c r="S35" s="29"/>
    </row>
    <row r="36">
      <c r="A36" s="31">
        <v>32.0</v>
      </c>
      <c r="B36" s="37"/>
      <c r="C36" s="37"/>
      <c r="D36" s="37"/>
      <c r="E36" s="42"/>
      <c r="F36" s="37"/>
      <c r="G36" s="46">
        <f t="shared" si="1"/>
        <v>0</v>
      </c>
      <c r="H36" s="37"/>
      <c r="I36" s="29"/>
      <c r="K36" s="31">
        <v>32.0</v>
      </c>
      <c r="L36" s="37"/>
      <c r="M36" s="37"/>
      <c r="N36" s="37"/>
      <c r="O36" s="42"/>
      <c r="P36" s="37"/>
      <c r="Q36" s="46">
        <f t="shared" si="2"/>
        <v>0</v>
      </c>
      <c r="R36" s="37"/>
      <c r="S36" s="29"/>
    </row>
    <row r="37">
      <c r="A37" s="31">
        <v>33.0</v>
      </c>
      <c r="B37" s="37"/>
      <c r="C37" s="37"/>
      <c r="D37" s="37"/>
      <c r="E37" s="42"/>
      <c r="F37" s="37"/>
      <c r="G37" s="46">
        <f t="shared" si="1"/>
        <v>0</v>
      </c>
      <c r="H37" s="37"/>
      <c r="I37" s="29"/>
      <c r="K37" s="31">
        <v>33.0</v>
      </c>
      <c r="L37" s="37"/>
      <c r="M37" s="37"/>
      <c r="N37" s="37"/>
      <c r="O37" s="42"/>
      <c r="P37" s="37"/>
      <c r="Q37" s="46">
        <f t="shared" si="2"/>
        <v>0</v>
      </c>
      <c r="R37" s="37"/>
      <c r="S37" s="29"/>
    </row>
    <row r="38">
      <c r="A38" s="31">
        <v>34.0</v>
      </c>
      <c r="B38" s="37"/>
      <c r="C38" s="37"/>
      <c r="D38" s="37"/>
      <c r="E38" s="42"/>
      <c r="F38" s="37"/>
      <c r="G38" s="46">
        <f t="shared" si="1"/>
        <v>0</v>
      </c>
      <c r="H38" s="37"/>
      <c r="I38" s="29"/>
      <c r="K38" s="31">
        <v>34.0</v>
      </c>
      <c r="L38" s="37"/>
      <c r="M38" s="37"/>
      <c r="N38" s="37"/>
      <c r="O38" s="42"/>
      <c r="P38" s="37"/>
      <c r="Q38" s="46">
        <f t="shared" si="2"/>
        <v>0</v>
      </c>
      <c r="R38" s="37"/>
      <c r="S38" s="29"/>
    </row>
    <row r="39">
      <c r="A39" s="31">
        <v>35.0</v>
      </c>
      <c r="B39" s="37"/>
      <c r="C39" s="37"/>
      <c r="D39" s="37"/>
      <c r="E39" s="42"/>
      <c r="F39" s="37"/>
      <c r="G39" s="46">
        <f t="shared" si="1"/>
        <v>0</v>
      </c>
      <c r="H39" s="37"/>
      <c r="I39" s="29"/>
      <c r="K39" s="31">
        <v>35.0</v>
      </c>
      <c r="L39" s="37"/>
      <c r="M39" s="37"/>
      <c r="N39" s="37"/>
      <c r="O39" s="42"/>
      <c r="P39" s="37"/>
      <c r="Q39" s="46">
        <f t="shared" si="2"/>
        <v>0</v>
      </c>
      <c r="R39" s="37"/>
      <c r="S39" s="29"/>
    </row>
    <row r="40">
      <c r="A40" s="31">
        <v>36.0</v>
      </c>
      <c r="B40" s="37"/>
      <c r="C40" s="37"/>
      <c r="D40" s="37"/>
      <c r="E40" s="42"/>
      <c r="F40" s="37"/>
      <c r="G40" s="46">
        <f t="shared" si="1"/>
        <v>0</v>
      </c>
      <c r="H40" s="37"/>
      <c r="I40" s="29"/>
      <c r="K40" s="31">
        <v>36.0</v>
      </c>
      <c r="L40" s="37"/>
      <c r="M40" s="37"/>
      <c r="N40" s="37"/>
      <c r="O40" s="42"/>
      <c r="P40" s="37"/>
      <c r="Q40" s="46">
        <f t="shared" si="2"/>
        <v>0</v>
      </c>
      <c r="R40" s="37"/>
      <c r="S40" s="29"/>
    </row>
    <row r="41">
      <c r="A41" s="31">
        <v>37.0</v>
      </c>
      <c r="B41" s="37"/>
      <c r="C41" s="37"/>
      <c r="D41" s="37"/>
      <c r="E41" s="42"/>
      <c r="F41" s="37"/>
      <c r="G41" s="46">
        <f t="shared" si="1"/>
        <v>0</v>
      </c>
      <c r="H41" s="37"/>
      <c r="I41" s="29"/>
      <c r="K41" s="31">
        <v>37.0</v>
      </c>
      <c r="L41" s="37"/>
      <c r="M41" s="37"/>
      <c r="N41" s="37"/>
      <c r="O41" s="42"/>
      <c r="P41" s="37"/>
      <c r="Q41" s="46">
        <f t="shared" si="2"/>
        <v>0</v>
      </c>
      <c r="R41" s="37"/>
      <c r="S41" s="29"/>
    </row>
    <row r="42">
      <c r="A42" s="31">
        <v>38.0</v>
      </c>
      <c r="B42" s="37"/>
      <c r="C42" s="37"/>
      <c r="D42" s="37"/>
      <c r="E42" s="42"/>
      <c r="F42" s="37"/>
      <c r="G42" s="46">
        <f t="shared" si="1"/>
        <v>0</v>
      </c>
      <c r="H42" s="37"/>
      <c r="I42" s="29"/>
      <c r="K42" s="31">
        <v>38.0</v>
      </c>
      <c r="L42" s="37"/>
      <c r="M42" s="37"/>
      <c r="N42" s="37"/>
      <c r="O42" s="42"/>
      <c r="P42" s="37"/>
      <c r="Q42" s="46">
        <f t="shared" si="2"/>
        <v>0</v>
      </c>
      <c r="R42" s="37"/>
      <c r="S42" s="29"/>
    </row>
    <row r="43">
      <c r="A43" s="1" t="s">
        <v>28</v>
      </c>
      <c r="B43" s="40">
        <f>countif(B4:B42,"*")</f>
        <v>0</v>
      </c>
      <c r="C43" s="37"/>
      <c r="D43" s="37"/>
      <c r="E43" s="37"/>
      <c r="F43" s="37"/>
      <c r="G43" s="37"/>
      <c r="H43" s="37"/>
      <c r="I43" s="37"/>
      <c r="K43" s="1" t="s">
        <v>28</v>
      </c>
      <c r="L43" s="40">
        <f>countif(L4:L42,"*")</f>
        <v>5</v>
      </c>
      <c r="M43" s="37"/>
      <c r="N43" s="37"/>
      <c r="O43" s="37"/>
      <c r="P43" s="37"/>
      <c r="Q43" s="37"/>
      <c r="R43" s="37"/>
      <c r="S43" s="37"/>
    </row>
  </sheetData>
  <mergeCells count="20">
    <mergeCell ref="L2:M2"/>
    <mergeCell ref="N2:O2"/>
    <mergeCell ref="K3:K4"/>
    <mergeCell ref="L3:L4"/>
    <mergeCell ref="M3:M4"/>
    <mergeCell ref="N3:N4"/>
    <mergeCell ref="B2:C2"/>
    <mergeCell ref="A3:A4"/>
    <mergeCell ref="B3:B4"/>
    <mergeCell ref="C3:C4"/>
    <mergeCell ref="D3:D4"/>
    <mergeCell ref="P2:R2"/>
    <mergeCell ref="O3:R3"/>
    <mergeCell ref="A1:H1"/>
    <mergeCell ref="I1:I3"/>
    <mergeCell ref="K1:R1"/>
    <mergeCell ref="S1:S3"/>
    <mergeCell ref="D2:E2"/>
    <mergeCell ref="F2:H2"/>
    <mergeCell ref="E3:H3"/>
  </mergeCells>
  <dataValidations>
    <dataValidation type="list" allowBlank="1" sqref="D5:D42 N5:N42">
      <formula1>Data!$A$2:$A$12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7.5"/>
    <col customWidth="1" min="8" max="8" width="31.13"/>
    <col customWidth="1" min="9" max="9" width="12.13"/>
    <col customWidth="1" min="10" max="10" width="10.88"/>
    <col customWidth="1" min="11" max="11" width="3.75"/>
    <col customWidth="1" min="16" max="17" width="0.38"/>
    <col customWidth="1" min="18" max="18" width="36.5"/>
    <col customWidth="1" min="19" max="19" width="18.88"/>
  </cols>
  <sheetData>
    <row r="1">
      <c r="A1" s="173" t="s">
        <v>373</v>
      </c>
      <c r="J1" s="61"/>
      <c r="K1" s="174" t="s">
        <v>374</v>
      </c>
      <c r="L1" s="5"/>
      <c r="M1" s="5"/>
      <c r="N1" s="5"/>
      <c r="O1" s="5"/>
      <c r="P1" s="5"/>
      <c r="Q1" s="5"/>
      <c r="R1" s="5"/>
      <c r="S1" s="6"/>
      <c r="T1" s="74"/>
      <c r="U1" s="74"/>
      <c r="V1" s="74"/>
      <c r="W1" s="74"/>
      <c r="X1" s="74"/>
      <c r="Y1" s="74"/>
      <c r="Z1" s="74"/>
    </row>
    <row r="2">
      <c r="A2" s="175" t="s">
        <v>21</v>
      </c>
      <c r="B2" s="176" t="s">
        <v>22</v>
      </c>
      <c r="C2" s="176" t="s">
        <v>24</v>
      </c>
      <c r="D2" s="176" t="s">
        <v>0</v>
      </c>
      <c r="E2" s="177" t="s">
        <v>5</v>
      </c>
      <c r="F2" s="5"/>
      <c r="G2" s="5"/>
      <c r="H2" s="6"/>
      <c r="I2" s="178" t="s">
        <v>17</v>
      </c>
      <c r="J2" s="61"/>
      <c r="K2" s="175" t="s">
        <v>21</v>
      </c>
      <c r="L2" s="176" t="s">
        <v>22</v>
      </c>
      <c r="M2" s="176" t="s">
        <v>24</v>
      </c>
      <c r="N2" s="176" t="s">
        <v>0</v>
      </c>
      <c r="O2" s="177" t="s">
        <v>5</v>
      </c>
      <c r="P2" s="5"/>
      <c r="Q2" s="5"/>
      <c r="R2" s="6"/>
      <c r="S2" s="178" t="s">
        <v>17</v>
      </c>
      <c r="T2" s="74"/>
      <c r="U2" s="74"/>
      <c r="V2" s="74"/>
      <c r="W2" s="74"/>
      <c r="X2" s="74"/>
      <c r="Y2" s="74"/>
      <c r="Z2" s="74"/>
    </row>
    <row r="3">
      <c r="A3" s="15"/>
      <c r="B3" s="15"/>
      <c r="C3" s="15"/>
      <c r="D3" s="15"/>
      <c r="E3" s="179" t="s">
        <v>375</v>
      </c>
      <c r="F3" s="179" t="s">
        <v>35</v>
      </c>
      <c r="G3" s="179" t="s">
        <v>36</v>
      </c>
      <c r="H3" s="180" t="s">
        <v>37</v>
      </c>
      <c r="I3" s="15"/>
      <c r="J3" s="61"/>
      <c r="K3" s="15"/>
      <c r="L3" s="15"/>
      <c r="M3" s="15"/>
      <c r="N3" s="15"/>
      <c r="O3" s="179" t="s">
        <v>375</v>
      </c>
      <c r="P3" s="179" t="s">
        <v>35</v>
      </c>
      <c r="Q3" s="179" t="s">
        <v>36</v>
      </c>
      <c r="R3" s="180" t="s">
        <v>37</v>
      </c>
      <c r="S3" s="15"/>
      <c r="T3" s="74"/>
      <c r="U3" s="74"/>
      <c r="V3" s="74"/>
      <c r="W3" s="74"/>
      <c r="X3" s="74"/>
      <c r="Y3" s="74"/>
      <c r="Z3" s="74"/>
    </row>
    <row r="4">
      <c r="A4" s="181">
        <v>1.0</v>
      </c>
      <c r="B4" s="34"/>
      <c r="C4" s="182"/>
      <c r="D4" s="183"/>
      <c r="E4" s="181">
        <v>250.0</v>
      </c>
      <c r="F4" s="184"/>
      <c r="G4" s="181">
        <f t="shared" ref="G4:G6" si="1">E4-F4</f>
        <v>250</v>
      </c>
      <c r="H4" s="185"/>
      <c r="I4" s="186"/>
      <c r="J4" s="61"/>
      <c r="K4" s="181">
        <v>1.0</v>
      </c>
      <c r="L4" s="61"/>
      <c r="M4" s="61"/>
      <c r="N4" s="183"/>
      <c r="O4" s="187">
        <v>0.0</v>
      </c>
      <c r="P4" s="61"/>
      <c r="Q4" s="181">
        <f t="shared" ref="Q4:Q33" si="2">O4-P4</f>
        <v>0</v>
      </c>
      <c r="R4" s="61"/>
      <c r="S4" s="188"/>
      <c r="T4" s="74"/>
      <c r="U4" s="74"/>
      <c r="V4" s="74"/>
      <c r="W4" s="74"/>
      <c r="X4" s="74"/>
      <c r="Y4" s="74"/>
      <c r="Z4" s="74"/>
    </row>
    <row r="5">
      <c r="A5" s="181">
        <v>2.0</v>
      </c>
      <c r="B5" s="61"/>
      <c r="C5" s="61"/>
      <c r="D5" s="183"/>
      <c r="E5" s="181">
        <v>250.0</v>
      </c>
      <c r="F5" s="61"/>
      <c r="G5" s="181">
        <f t="shared" si="1"/>
        <v>250</v>
      </c>
      <c r="H5" s="61"/>
      <c r="I5" s="186"/>
      <c r="J5" s="61"/>
      <c r="K5" s="181">
        <v>2.0</v>
      </c>
      <c r="L5" s="61"/>
      <c r="M5" s="61"/>
      <c r="N5" s="183"/>
      <c r="O5" s="187">
        <v>0.0</v>
      </c>
      <c r="P5" s="184"/>
      <c r="Q5" s="181">
        <f t="shared" si="2"/>
        <v>0</v>
      </c>
      <c r="R5" s="189"/>
      <c r="S5" s="188"/>
      <c r="T5" s="74"/>
      <c r="U5" s="74"/>
      <c r="V5" s="74"/>
      <c r="W5" s="74"/>
      <c r="X5" s="74"/>
      <c r="Y5" s="74"/>
      <c r="Z5" s="74"/>
    </row>
    <row r="6">
      <c r="A6" s="181">
        <v>3.0</v>
      </c>
      <c r="B6" s="61"/>
      <c r="C6" s="184"/>
      <c r="D6" s="183"/>
      <c r="E6" s="181">
        <v>250.0</v>
      </c>
      <c r="F6" s="184"/>
      <c r="G6" s="181">
        <f t="shared" si="1"/>
        <v>250</v>
      </c>
      <c r="H6" s="61"/>
      <c r="I6" s="186"/>
      <c r="J6" s="61"/>
      <c r="K6" s="181">
        <v>3.0</v>
      </c>
      <c r="L6" s="61"/>
      <c r="M6" s="61"/>
      <c r="N6" s="183"/>
      <c r="O6" s="187">
        <v>0.0</v>
      </c>
      <c r="P6" s="184"/>
      <c r="Q6" s="181">
        <f t="shared" si="2"/>
        <v>0</v>
      </c>
      <c r="R6" s="15"/>
      <c r="S6" s="188"/>
      <c r="T6" s="74"/>
      <c r="U6" s="74"/>
      <c r="V6" s="74"/>
      <c r="W6" s="74"/>
      <c r="X6" s="74"/>
      <c r="Y6" s="74"/>
      <c r="Z6" s="74"/>
    </row>
    <row r="7">
      <c r="A7" s="181">
        <v>4.0</v>
      </c>
      <c r="B7" s="61"/>
      <c r="C7" s="61"/>
      <c r="D7" s="61"/>
      <c r="E7" s="62">
        <v>250.0</v>
      </c>
      <c r="F7" s="61"/>
      <c r="G7" s="181">
        <f>E6-F6</f>
        <v>250</v>
      </c>
      <c r="H7" s="61"/>
      <c r="I7" s="186"/>
      <c r="J7" s="61"/>
      <c r="K7" s="181">
        <v>4.0</v>
      </c>
      <c r="L7" s="61"/>
      <c r="M7" s="61"/>
      <c r="N7" s="183"/>
      <c r="O7" s="187">
        <v>0.0</v>
      </c>
      <c r="P7" s="184"/>
      <c r="Q7" s="181">
        <f t="shared" si="2"/>
        <v>0</v>
      </c>
      <c r="R7" s="61"/>
      <c r="S7" s="188"/>
      <c r="T7" s="74"/>
      <c r="U7" s="74"/>
      <c r="V7" s="74"/>
      <c r="W7" s="74"/>
      <c r="X7" s="74"/>
      <c r="Y7" s="74"/>
      <c r="Z7" s="74"/>
    </row>
    <row r="8">
      <c r="A8" s="181">
        <v>5.0</v>
      </c>
      <c r="B8" s="61"/>
      <c r="C8" s="61"/>
      <c r="D8" s="183"/>
      <c r="E8" s="181">
        <v>250.0</v>
      </c>
      <c r="F8" s="61"/>
      <c r="G8" s="181">
        <f t="shared" ref="G8:G33" si="3">E8-F8</f>
        <v>250</v>
      </c>
      <c r="H8" s="61"/>
      <c r="I8" s="186"/>
      <c r="J8" s="61"/>
      <c r="K8" s="181">
        <v>5.0</v>
      </c>
      <c r="L8" s="61"/>
      <c r="M8" s="184"/>
      <c r="N8" s="183"/>
      <c r="O8" s="187">
        <v>0.0</v>
      </c>
      <c r="P8" s="184"/>
      <c r="Q8" s="181">
        <f t="shared" si="2"/>
        <v>0</v>
      </c>
      <c r="R8" s="61"/>
      <c r="S8" s="186"/>
      <c r="T8" s="74"/>
      <c r="U8" s="74"/>
      <c r="V8" s="74"/>
      <c r="W8" s="74"/>
      <c r="X8" s="74"/>
      <c r="Y8" s="74"/>
      <c r="Z8" s="74"/>
    </row>
    <row r="9">
      <c r="A9" s="181">
        <v>6.0</v>
      </c>
      <c r="B9" s="61"/>
      <c r="C9" s="61"/>
      <c r="D9" s="183"/>
      <c r="E9" s="181">
        <v>250.0</v>
      </c>
      <c r="F9" s="61"/>
      <c r="G9" s="181">
        <f t="shared" si="3"/>
        <v>250</v>
      </c>
      <c r="H9" s="61"/>
      <c r="I9" s="186"/>
      <c r="J9" s="61"/>
      <c r="K9" s="181">
        <v>6.0</v>
      </c>
      <c r="L9" s="61"/>
      <c r="M9" s="61"/>
      <c r="N9" s="183"/>
      <c r="O9" s="187">
        <v>0.0</v>
      </c>
      <c r="P9" s="184"/>
      <c r="Q9" s="181">
        <f t="shared" si="2"/>
        <v>0</v>
      </c>
      <c r="R9" s="61"/>
      <c r="S9" s="186"/>
      <c r="T9" s="74"/>
      <c r="U9" s="74"/>
      <c r="V9" s="74"/>
      <c r="W9" s="74"/>
      <c r="X9" s="74"/>
      <c r="Y9" s="74"/>
      <c r="Z9" s="74"/>
    </row>
    <row r="10">
      <c r="A10" s="181">
        <v>7.0</v>
      </c>
      <c r="B10" s="61"/>
      <c r="C10" s="61"/>
      <c r="D10" s="183"/>
      <c r="E10" s="181">
        <v>250.0</v>
      </c>
      <c r="F10" s="61"/>
      <c r="G10" s="181">
        <f t="shared" si="3"/>
        <v>250</v>
      </c>
      <c r="H10" s="61"/>
      <c r="I10" s="186"/>
      <c r="J10" s="61"/>
      <c r="K10" s="181">
        <v>7.0</v>
      </c>
      <c r="L10" s="61"/>
      <c r="M10" s="61"/>
      <c r="N10" s="183"/>
      <c r="O10" s="187">
        <v>0.0</v>
      </c>
      <c r="P10" s="61"/>
      <c r="Q10" s="181">
        <f t="shared" si="2"/>
        <v>0</v>
      </c>
      <c r="R10" s="61"/>
      <c r="S10" s="186"/>
      <c r="T10" s="74"/>
      <c r="U10" s="74"/>
      <c r="V10" s="74"/>
      <c r="W10" s="74"/>
      <c r="X10" s="74"/>
      <c r="Y10" s="74"/>
      <c r="Z10" s="74"/>
    </row>
    <row r="11">
      <c r="A11" s="181">
        <v>8.0</v>
      </c>
      <c r="B11" s="61"/>
      <c r="C11" s="61"/>
      <c r="D11" s="183"/>
      <c r="E11" s="181">
        <v>250.0</v>
      </c>
      <c r="F11" s="61"/>
      <c r="G11" s="181">
        <f t="shared" si="3"/>
        <v>250</v>
      </c>
      <c r="H11" s="61"/>
      <c r="I11" s="186"/>
      <c r="J11" s="61"/>
      <c r="K11" s="181">
        <v>8.0</v>
      </c>
      <c r="L11" s="61"/>
      <c r="M11" s="61"/>
      <c r="N11" s="183"/>
      <c r="O11" s="187">
        <v>0.0</v>
      </c>
      <c r="P11" s="61"/>
      <c r="Q11" s="181">
        <f t="shared" si="2"/>
        <v>0</v>
      </c>
      <c r="R11" s="61"/>
      <c r="S11" s="186"/>
      <c r="T11" s="74"/>
      <c r="U11" s="74"/>
      <c r="V11" s="74"/>
      <c r="W11" s="74"/>
      <c r="X11" s="74"/>
      <c r="Y11" s="74"/>
      <c r="Z11" s="74"/>
    </row>
    <row r="12">
      <c r="A12" s="181">
        <v>9.0</v>
      </c>
      <c r="B12" s="61"/>
      <c r="C12" s="61"/>
      <c r="D12" s="183"/>
      <c r="E12" s="181">
        <v>250.0</v>
      </c>
      <c r="F12" s="61"/>
      <c r="G12" s="181">
        <f t="shared" si="3"/>
        <v>250</v>
      </c>
      <c r="H12" s="61"/>
      <c r="I12" s="186"/>
      <c r="J12" s="61"/>
      <c r="K12" s="181">
        <v>9.0</v>
      </c>
      <c r="L12" s="61"/>
      <c r="M12" s="61"/>
      <c r="N12" s="183"/>
      <c r="O12" s="187">
        <v>0.0</v>
      </c>
      <c r="P12" s="61"/>
      <c r="Q12" s="181">
        <f t="shared" si="2"/>
        <v>0</v>
      </c>
      <c r="R12" s="61"/>
      <c r="S12" s="186"/>
      <c r="T12" s="74"/>
      <c r="U12" s="74"/>
      <c r="V12" s="74"/>
      <c r="W12" s="74"/>
      <c r="X12" s="74"/>
      <c r="Y12" s="74"/>
      <c r="Z12" s="74"/>
    </row>
    <row r="13">
      <c r="A13" s="181">
        <v>10.0</v>
      </c>
      <c r="B13" s="61"/>
      <c r="C13" s="61"/>
      <c r="D13" s="183"/>
      <c r="E13" s="181">
        <v>250.0</v>
      </c>
      <c r="F13" s="61"/>
      <c r="G13" s="181">
        <f t="shared" si="3"/>
        <v>250</v>
      </c>
      <c r="H13" s="61"/>
      <c r="I13" s="186"/>
      <c r="J13" s="61"/>
      <c r="K13" s="181">
        <v>10.0</v>
      </c>
      <c r="L13" s="61"/>
      <c r="M13" s="61"/>
      <c r="N13" s="183"/>
      <c r="O13" s="187">
        <v>0.0</v>
      </c>
      <c r="P13" s="61"/>
      <c r="Q13" s="181">
        <f t="shared" si="2"/>
        <v>0</v>
      </c>
      <c r="R13" s="61"/>
      <c r="S13" s="186"/>
      <c r="T13" s="74"/>
      <c r="U13" s="74"/>
      <c r="V13" s="74"/>
      <c r="W13" s="74"/>
      <c r="X13" s="74"/>
      <c r="Y13" s="74"/>
      <c r="Z13" s="74"/>
    </row>
    <row r="14">
      <c r="A14" s="181">
        <v>11.0</v>
      </c>
      <c r="B14" s="61"/>
      <c r="C14" s="61"/>
      <c r="D14" s="183"/>
      <c r="E14" s="181">
        <v>250.0</v>
      </c>
      <c r="F14" s="61"/>
      <c r="G14" s="181">
        <f t="shared" si="3"/>
        <v>250</v>
      </c>
      <c r="H14" s="61"/>
      <c r="I14" s="186"/>
      <c r="J14" s="61"/>
      <c r="K14" s="181">
        <v>11.0</v>
      </c>
      <c r="L14" s="61"/>
      <c r="M14" s="61"/>
      <c r="N14" s="183"/>
      <c r="O14" s="187">
        <v>0.0</v>
      </c>
      <c r="P14" s="61"/>
      <c r="Q14" s="181">
        <f t="shared" si="2"/>
        <v>0</v>
      </c>
      <c r="R14" s="61"/>
      <c r="S14" s="186"/>
      <c r="T14" s="74"/>
      <c r="U14" s="74"/>
      <c r="V14" s="74"/>
      <c r="W14" s="74"/>
      <c r="X14" s="74"/>
      <c r="Y14" s="74"/>
      <c r="Z14" s="74"/>
    </row>
    <row r="15">
      <c r="A15" s="181">
        <v>12.0</v>
      </c>
      <c r="B15" s="61"/>
      <c r="C15" s="61"/>
      <c r="D15" s="183"/>
      <c r="E15" s="181">
        <v>250.0</v>
      </c>
      <c r="F15" s="61"/>
      <c r="G15" s="181">
        <f t="shared" si="3"/>
        <v>250</v>
      </c>
      <c r="H15" s="61"/>
      <c r="I15" s="186"/>
      <c r="J15" s="61"/>
      <c r="K15" s="181">
        <v>12.0</v>
      </c>
      <c r="L15" s="61"/>
      <c r="M15" s="61"/>
      <c r="N15" s="183"/>
      <c r="O15" s="187">
        <v>0.0</v>
      </c>
      <c r="P15" s="61"/>
      <c r="Q15" s="181">
        <f t="shared" si="2"/>
        <v>0</v>
      </c>
      <c r="R15" s="61"/>
      <c r="S15" s="186"/>
      <c r="T15" s="74"/>
      <c r="U15" s="74"/>
      <c r="V15" s="74"/>
      <c r="W15" s="74"/>
      <c r="X15" s="74"/>
      <c r="Y15" s="74"/>
      <c r="Z15" s="74"/>
    </row>
    <row r="16">
      <c r="A16" s="181">
        <v>13.0</v>
      </c>
      <c r="B16" s="61"/>
      <c r="C16" s="61"/>
      <c r="D16" s="183"/>
      <c r="E16" s="181">
        <v>250.0</v>
      </c>
      <c r="F16" s="61"/>
      <c r="G16" s="181">
        <f t="shared" si="3"/>
        <v>250</v>
      </c>
      <c r="H16" s="61"/>
      <c r="I16" s="186"/>
      <c r="J16" s="61"/>
      <c r="K16" s="181">
        <v>13.0</v>
      </c>
      <c r="L16" s="61"/>
      <c r="M16" s="61"/>
      <c r="N16" s="183"/>
      <c r="O16" s="187">
        <v>0.0</v>
      </c>
      <c r="P16" s="61"/>
      <c r="Q16" s="181">
        <f t="shared" si="2"/>
        <v>0</v>
      </c>
      <c r="R16" s="61"/>
      <c r="S16" s="186"/>
      <c r="T16" s="74"/>
      <c r="U16" s="74"/>
      <c r="V16" s="74"/>
      <c r="W16" s="74"/>
      <c r="X16" s="74"/>
      <c r="Y16" s="74"/>
      <c r="Z16" s="74"/>
    </row>
    <row r="17">
      <c r="A17" s="181">
        <v>14.0</v>
      </c>
      <c r="B17" s="61"/>
      <c r="C17" s="61"/>
      <c r="D17" s="183"/>
      <c r="E17" s="181">
        <v>250.0</v>
      </c>
      <c r="F17" s="61"/>
      <c r="G17" s="181">
        <f t="shared" si="3"/>
        <v>250</v>
      </c>
      <c r="H17" s="61"/>
      <c r="I17" s="186"/>
      <c r="J17" s="61"/>
      <c r="K17" s="181">
        <v>14.0</v>
      </c>
      <c r="L17" s="61"/>
      <c r="M17" s="61"/>
      <c r="N17" s="183"/>
      <c r="O17" s="187">
        <v>0.0</v>
      </c>
      <c r="P17" s="61"/>
      <c r="Q17" s="181">
        <f t="shared" si="2"/>
        <v>0</v>
      </c>
      <c r="R17" s="61"/>
      <c r="S17" s="186"/>
      <c r="T17" s="74"/>
      <c r="U17" s="74"/>
      <c r="V17" s="74"/>
      <c r="W17" s="74"/>
      <c r="X17" s="74"/>
      <c r="Y17" s="74"/>
      <c r="Z17" s="74"/>
    </row>
    <row r="18">
      <c r="A18" s="181">
        <v>15.0</v>
      </c>
      <c r="B18" s="61"/>
      <c r="C18" s="61"/>
      <c r="D18" s="183"/>
      <c r="E18" s="181">
        <v>250.0</v>
      </c>
      <c r="F18" s="61"/>
      <c r="G18" s="181">
        <f t="shared" si="3"/>
        <v>250</v>
      </c>
      <c r="H18" s="61"/>
      <c r="I18" s="186"/>
      <c r="J18" s="61"/>
      <c r="K18" s="181">
        <v>15.0</v>
      </c>
      <c r="L18" s="61"/>
      <c r="M18" s="61"/>
      <c r="N18" s="183"/>
      <c r="O18" s="187">
        <v>0.0</v>
      </c>
      <c r="P18" s="61"/>
      <c r="Q18" s="181">
        <f t="shared" si="2"/>
        <v>0</v>
      </c>
      <c r="R18" s="61"/>
      <c r="S18" s="186"/>
      <c r="T18" s="74"/>
      <c r="U18" s="74"/>
      <c r="V18" s="74"/>
      <c r="W18" s="74"/>
      <c r="X18" s="74"/>
      <c r="Y18" s="74"/>
      <c r="Z18" s="74"/>
    </row>
    <row r="19">
      <c r="A19" s="181">
        <v>16.0</v>
      </c>
      <c r="B19" s="61"/>
      <c r="C19" s="61"/>
      <c r="D19" s="183"/>
      <c r="E19" s="181">
        <v>250.0</v>
      </c>
      <c r="F19" s="61"/>
      <c r="G19" s="181">
        <f t="shared" si="3"/>
        <v>250</v>
      </c>
      <c r="H19" s="61"/>
      <c r="I19" s="186"/>
      <c r="J19" s="61"/>
      <c r="K19" s="181">
        <v>16.0</v>
      </c>
      <c r="L19" s="61"/>
      <c r="M19" s="61"/>
      <c r="N19" s="183"/>
      <c r="O19" s="187">
        <v>0.0</v>
      </c>
      <c r="P19" s="61"/>
      <c r="Q19" s="181">
        <f t="shared" si="2"/>
        <v>0</v>
      </c>
      <c r="R19" s="61"/>
      <c r="S19" s="186"/>
      <c r="T19" s="74"/>
      <c r="U19" s="74"/>
      <c r="V19" s="74"/>
      <c r="W19" s="74"/>
      <c r="X19" s="74"/>
      <c r="Y19" s="74"/>
      <c r="Z19" s="74"/>
    </row>
    <row r="20">
      <c r="A20" s="181">
        <v>17.0</v>
      </c>
      <c r="B20" s="61"/>
      <c r="C20" s="61"/>
      <c r="D20" s="183"/>
      <c r="E20" s="181">
        <v>250.0</v>
      </c>
      <c r="F20" s="61"/>
      <c r="G20" s="181">
        <f t="shared" si="3"/>
        <v>250</v>
      </c>
      <c r="H20" s="61"/>
      <c r="I20" s="186"/>
      <c r="J20" s="61"/>
      <c r="K20" s="181">
        <v>17.0</v>
      </c>
      <c r="L20" s="61"/>
      <c r="M20" s="61"/>
      <c r="N20" s="183"/>
      <c r="O20" s="187">
        <v>0.0</v>
      </c>
      <c r="P20" s="61"/>
      <c r="Q20" s="181">
        <f t="shared" si="2"/>
        <v>0</v>
      </c>
      <c r="R20" s="61"/>
      <c r="S20" s="186"/>
      <c r="T20" s="74"/>
      <c r="U20" s="74"/>
      <c r="V20" s="74"/>
      <c r="W20" s="74"/>
      <c r="X20" s="74"/>
      <c r="Y20" s="74"/>
      <c r="Z20" s="74"/>
    </row>
    <row r="21">
      <c r="A21" s="181">
        <v>18.0</v>
      </c>
      <c r="B21" s="61"/>
      <c r="C21" s="61"/>
      <c r="D21" s="183"/>
      <c r="E21" s="181">
        <v>250.0</v>
      </c>
      <c r="F21" s="61"/>
      <c r="G21" s="181">
        <f t="shared" si="3"/>
        <v>250</v>
      </c>
      <c r="H21" s="61"/>
      <c r="I21" s="186"/>
      <c r="J21" s="61"/>
      <c r="K21" s="181">
        <v>18.0</v>
      </c>
      <c r="L21" s="61"/>
      <c r="M21" s="61"/>
      <c r="N21" s="183"/>
      <c r="O21" s="187">
        <v>0.0</v>
      </c>
      <c r="P21" s="61"/>
      <c r="Q21" s="181">
        <f t="shared" si="2"/>
        <v>0</v>
      </c>
      <c r="R21" s="61"/>
      <c r="S21" s="186"/>
      <c r="T21" s="74"/>
      <c r="U21" s="74"/>
      <c r="V21" s="74"/>
      <c r="W21" s="74"/>
      <c r="X21" s="74"/>
      <c r="Y21" s="74"/>
      <c r="Z21" s="74"/>
    </row>
    <row r="22">
      <c r="A22" s="181">
        <v>19.0</v>
      </c>
      <c r="B22" s="61"/>
      <c r="C22" s="61"/>
      <c r="D22" s="183"/>
      <c r="E22" s="181">
        <v>250.0</v>
      </c>
      <c r="F22" s="61"/>
      <c r="G22" s="181">
        <f t="shared" si="3"/>
        <v>250</v>
      </c>
      <c r="H22" s="61"/>
      <c r="I22" s="186"/>
      <c r="J22" s="61"/>
      <c r="K22" s="181">
        <v>19.0</v>
      </c>
      <c r="L22" s="61"/>
      <c r="M22" s="61"/>
      <c r="N22" s="183"/>
      <c r="O22" s="187">
        <v>0.0</v>
      </c>
      <c r="P22" s="61"/>
      <c r="Q22" s="181">
        <f t="shared" si="2"/>
        <v>0</v>
      </c>
      <c r="R22" s="61"/>
      <c r="S22" s="186"/>
      <c r="T22" s="74"/>
      <c r="U22" s="74"/>
      <c r="V22" s="74"/>
      <c r="W22" s="74"/>
      <c r="X22" s="74"/>
      <c r="Y22" s="74"/>
      <c r="Z22" s="74"/>
    </row>
    <row r="23">
      <c r="A23" s="181">
        <v>20.0</v>
      </c>
      <c r="B23" s="61"/>
      <c r="C23" s="61"/>
      <c r="D23" s="183"/>
      <c r="E23" s="181">
        <v>250.0</v>
      </c>
      <c r="F23" s="61"/>
      <c r="G23" s="181">
        <f t="shared" si="3"/>
        <v>250</v>
      </c>
      <c r="H23" s="61"/>
      <c r="I23" s="186"/>
      <c r="J23" s="61"/>
      <c r="K23" s="181">
        <v>20.0</v>
      </c>
      <c r="L23" s="61"/>
      <c r="M23" s="61"/>
      <c r="N23" s="183"/>
      <c r="O23" s="187">
        <v>0.0</v>
      </c>
      <c r="P23" s="61"/>
      <c r="Q23" s="181">
        <f t="shared" si="2"/>
        <v>0</v>
      </c>
      <c r="R23" s="61"/>
      <c r="S23" s="186"/>
      <c r="T23" s="74"/>
      <c r="U23" s="74"/>
      <c r="V23" s="74"/>
      <c r="W23" s="74"/>
      <c r="X23" s="74"/>
      <c r="Y23" s="74"/>
      <c r="Z23" s="74"/>
    </row>
    <row r="24">
      <c r="A24" s="181">
        <v>21.0</v>
      </c>
      <c r="B24" s="61"/>
      <c r="C24" s="61"/>
      <c r="D24" s="183"/>
      <c r="E24" s="181">
        <v>250.0</v>
      </c>
      <c r="F24" s="61"/>
      <c r="G24" s="181">
        <f t="shared" si="3"/>
        <v>250</v>
      </c>
      <c r="H24" s="61"/>
      <c r="I24" s="186"/>
      <c r="J24" s="61"/>
      <c r="K24" s="181">
        <v>21.0</v>
      </c>
      <c r="L24" s="61"/>
      <c r="M24" s="61"/>
      <c r="N24" s="183"/>
      <c r="O24" s="187">
        <v>0.0</v>
      </c>
      <c r="P24" s="61"/>
      <c r="Q24" s="181">
        <f t="shared" si="2"/>
        <v>0</v>
      </c>
      <c r="R24" s="61"/>
      <c r="S24" s="186"/>
      <c r="T24" s="74"/>
      <c r="U24" s="74"/>
      <c r="V24" s="74"/>
      <c r="W24" s="74"/>
      <c r="X24" s="74"/>
      <c r="Y24" s="74"/>
      <c r="Z24" s="74"/>
    </row>
    <row r="25">
      <c r="A25" s="181">
        <v>22.0</v>
      </c>
      <c r="B25" s="61"/>
      <c r="C25" s="61"/>
      <c r="D25" s="183"/>
      <c r="E25" s="181">
        <v>250.0</v>
      </c>
      <c r="F25" s="61"/>
      <c r="G25" s="181">
        <f t="shared" si="3"/>
        <v>250</v>
      </c>
      <c r="H25" s="61"/>
      <c r="I25" s="186"/>
      <c r="J25" s="61"/>
      <c r="K25" s="181">
        <v>22.0</v>
      </c>
      <c r="L25" s="61"/>
      <c r="M25" s="61"/>
      <c r="N25" s="183"/>
      <c r="O25" s="187">
        <v>0.0</v>
      </c>
      <c r="P25" s="61"/>
      <c r="Q25" s="181">
        <f t="shared" si="2"/>
        <v>0</v>
      </c>
      <c r="R25" s="61"/>
      <c r="S25" s="186"/>
      <c r="T25" s="74"/>
      <c r="U25" s="74"/>
      <c r="V25" s="74"/>
      <c r="W25" s="74"/>
      <c r="X25" s="74"/>
      <c r="Y25" s="74"/>
      <c r="Z25" s="74"/>
    </row>
    <row r="26">
      <c r="A26" s="181">
        <v>23.0</v>
      </c>
      <c r="B26" s="61"/>
      <c r="C26" s="61"/>
      <c r="D26" s="183"/>
      <c r="E26" s="181">
        <v>250.0</v>
      </c>
      <c r="F26" s="61"/>
      <c r="G26" s="181">
        <f t="shared" si="3"/>
        <v>250</v>
      </c>
      <c r="H26" s="61"/>
      <c r="I26" s="186"/>
      <c r="J26" s="61"/>
      <c r="K26" s="181">
        <v>23.0</v>
      </c>
      <c r="L26" s="61"/>
      <c r="M26" s="61"/>
      <c r="N26" s="183"/>
      <c r="O26" s="187">
        <v>0.0</v>
      </c>
      <c r="P26" s="61"/>
      <c r="Q26" s="181">
        <f t="shared" si="2"/>
        <v>0</v>
      </c>
      <c r="R26" s="61"/>
      <c r="S26" s="186"/>
      <c r="T26" s="74"/>
      <c r="U26" s="74"/>
      <c r="V26" s="74"/>
      <c r="W26" s="74"/>
      <c r="X26" s="74"/>
      <c r="Y26" s="74"/>
      <c r="Z26" s="74"/>
    </row>
    <row r="27">
      <c r="A27" s="181">
        <v>24.0</v>
      </c>
      <c r="B27" s="61"/>
      <c r="C27" s="61"/>
      <c r="D27" s="183"/>
      <c r="E27" s="181">
        <v>250.0</v>
      </c>
      <c r="F27" s="61"/>
      <c r="G27" s="181">
        <f t="shared" si="3"/>
        <v>250</v>
      </c>
      <c r="H27" s="61"/>
      <c r="I27" s="186"/>
      <c r="J27" s="61"/>
      <c r="K27" s="181">
        <v>24.0</v>
      </c>
      <c r="L27" s="61"/>
      <c r="M27" s="61"/>
      <c r="N27" s="183"/>
      <c r="O27" s="187">
        <v>0.0</v>
      </c>
      <c r="P27" s="61"/>
      <c r="Q27" s="181">
        <f t="shared" si="2"/>
        <v>0</v>
      </c>
      <c r="R27" s="61"/>
      <c r="S27" s="186"/>
      <c r="T27" s="74"/>
      <c r="U27" s="74"/>
      <c r="V27" s="74"/>
      <c r="W27" s="74"/>
      <c r="X27" s="74"/>
      <c r="Y27" s="74"/>
      <c r="Z27" s="74"/>
    </row>
    <row r="28">
      <c r="A28" s="181">
        <v>25.0</v>
      </c>
      <c r="B28" s="61"/>
      <c r="C28" s="61"/>
      <c r="D28" s="183"/>
      <c r="E28" s="181">
        <v>250.0</v>
      </c>
      <c r="F28" s="61"/>
      <c r="G28" s="181">
        <f t="shared" si="3"/>
        <v>250</v>
      </c>
      <c r="H28" s="61"/>
      <c r="I28" s="186"/>
      <c r="J28" s="61"/>
      <c r="K28" s="181">
        <v>25.0</v>
      </c>
      <c r="L28" s="61"/>
      <c r="M28" s="61"/>
      <c r="N28" s="183"/>
      <c r="O28" s="187">
        <v>0.0</v>
      </c>
      <c r="P28" s="61"/>
      <c r="Q28" s="181">
        <f t="shared" si="2"/>
        <v>0</v>
      </c>
      <c r="R28" s="61"/>
      <c r="S28" s="186"/>
      <c r="T28" s="74"/>
      <c r="U28" s="74"/>
      <c r="V28" s="74"/>
      <c r="W28" s="74"/>
      <c r="X28" s="74"/>
      <c r="Y28" s="74"/>
      <c r="Z28" s="74"/>
    </row>
    <row r="29">
      <c r="A29" s="181">
        <v>26.0</v>
      </c>
      <c r="B29" s="61"/>
      <c r="C29" s="61"/>
      <c r="D29" s="183"/>
      <c r="E29" s="181">
        <v>250.0</v>
      </c>
      <c r="F29" s="61"/>
      <c r="G29" s="181">
        <f t="shared" si="3"/>
        <v>250</v>
      </c>
      <c r="H29" s="61"/>
      <c r="I29" s="186"/>
      <c r="J29" s="61"/>
      <c r="K29" s="181">
        <v>26.0</v>
      </c>
      <c r="L29" s="61"/>
      <c r="M29" s="61"/>
      <c r="N29" s="183"/>
      <c r="O29" s="187">
        <v>0.0</v>
      </c>
      <c r="P29" s="61"/>
      <c r="Q29" s="181">
        <f t="shared" si="2"/>
        <v>0</v>
      </c>
      <c r="R29" s="61"/>
      <c r="S29" s="186"/>
      <c r="T29" s="74"/>
      <c r="U29" s="74"/>
      <c r="V29" s="74"/>
      <c r="W29" s="74"/>
      <c r="X29" s="74"/>
      <c r="Y29" s="74"/>
      <c r="Z29" s="74"/>
    </row>
    <row r="30">
      <c r="A30" s="181">
        <v>27.0</v>
      </c>
      <c r="B30" s="61"/>
      <c r="C30" s="61"/>
      <c r="D30" s="183"/>
      <c r="E30" s="181">
        <v>250.0</v>
      </c>
      <c r="F30" s="61"/>
      <c r="G30" s="181">
        <f t="shared" si="3"/>
        <v>250</v>
      </c>
      <c r="H30" s="61"/>
      <c r="I30" s="186"/>
      <c r="J30" s="61"/>
      <c r="K30" s="181">
        <v>27.0</v>
      </c>
      <c r="L30" s="61"/>
      <c r="M30" s="61"/>
      <c r="N30" s="183"/>
      <c r="O30" s="187">
        <v>0.0</v>
      </c>
      <c r="P30" s="61"/>
      <c r="Q30" s="181">
        <f t="shared" si="2"/>
        <v>0</v>
      </c>
      <c r="R30" s="61"/>
      <c r="S30" s="186"/>
      <c r="T30" s="74"/>
      <c r="U30" s="74"/>
      <c r="V30" s="74"/>
      <c r="W30" s="74"/>
      <c r="X30" s="74"/>
      <c r="Y30" s="74"/>
      <c r="Z30" s="74"/>
    </row>
    <row r="31">
      <c r="A31" s="181">
        <v>28.0</v>
      </c>
      <c r="B31" s="61"/>
      <c r="C31" s="61"/>
      <c r="D31" s="183"/>
      <c r="E31" s="181">
        <v>250.0</v>
      </c>
      <c r="F31" s="61"/>
      <c r="G31" s="181">
        <f t="shared" si="3"/>
        <v>250</v>
      </c>
      <c r="H31" s="61"/>
      <c r="I31" s="186"/>
      <c r="J31" s="61"/>
      <c r="K31" s="181">
        <v>28.0</v>
      </c>
      <c r="L31" s="61"/>
      <c r="M31" s="61"/>
      <c r="N31" s="183"/>
      <c r="O31" s="187">
        <v>0.0</v>
      </c>
      <c r="P31" s="61"/>
      <c r="Q31" s="181">
        <f t="shared" si="2"/>
        <v>0</v>
      </c>
      <c r="R31" s="61"/>
      <c r="S31" s="186"/>
      <c r="T31" s="74"/>
      <c r="U31" s="74"/>
      <c r="V31" s="74"/>
      <c r="W31" s="74"/>
      <c r="X31" s="74"/>
      <c r="Y31" s="74"/>
      <c r="Z31" s="74"/>
    </row>
    <row r="32">
      <c r="A32" s="181">
        <v>29.0</v>
      </c>
      <c r="B32" s="61"/>
      <c r="C32" s="61"/>
      <c r="D32" s="183"/>
      <c r="E32" s="181">
        <v>250.0</v>
      </c>
      <c r="F32" s="61"/>
      <c r="G32" s="181">
        <f t="shared" si="3"/>
        <v>250</v>
      </c>
      <c r="H32" s="61"/>
      <c r="I32" s="186"/>
      <c r="J32" s="61"/>
      <c r="K32" s="181">
        <v>29.0</v>
      </c>
      <c r="L32" s="61"/>
      <c r="M32" s="61"/>
      <c r="N32" s="183"/>
      <c r="O32" s="187">
        <v>0.0</v>
      </c>
      <c r="P32" s="61"/>
      <c r="Q32" s="181">
        <f t="shared" si="2"/>
        <v>0</v>
      </c>
      <c r="R32" s="61"/>
      <c r="S32" s="186"/>
      <c r="T32" s="74"/>
      <c r="U32" s="74"/>
      <c r="V32" s="74"/>
      <c r="W32" s="74"/>
      <c r="X32" s="74"/>
      <c r="Y32" s="74"/>
      <c r="Z32" s="74"/>
    </row>
    <row r="33">
      <c r="A33" s="181">
        <v>30.0</v>
      </c>
      <c r="B33" s="61"/>
      <c r="C33" s="61"/>
      <c r="D33" s="183"/>
      <c r="E33" s="181">
        <v>250.0</v>
      </c>
      <c r="F33" s="61"/>
      <c r="G33" s="181">
        <f t="shared" si="3"/>
        <v>250</v>
      </c>
      <c r="H33" s="61"/>
      <c r="I33" s="186"/>
      <c r="J33" s="61"/>
      <c r="K33" s="181">
        <v>30.0</v>
      </c>
      <c r="L33" s="61"/>
      <c r="M33" s="61"/>
      <c r="N33" s="183"/>
      <c r="O33" s="187">
        <v>0.0</v>
      </c>
      <c r="P33" s="61"/>
      <c r="Q33" s="181">
        <f t="shared" si="2"/>
        <v>0</v>
      </c>
      <c r="R33" s="61"/>
      <c r="S33" s="186"/>
      <c r="T33" s="74"/>
      <c r="U33" s="74"/>
      <c r="V33" s="74"/>
      <c r="W33" s="74"/>
      <c r="X33" s="74"/>
      <c r="Y33" s="74"/>
      <c r="Z33" s="74"/>
    </row>
    <row r="3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15">
    <mergeCell ref="I2:I3"/>
    <mergeCell ref="K2:K3"/>
    <mergeCell ref="L2:L3"/>
    <mergeCell ref="M2:M3"/>
    <mergeCell ref="N2:N3"/>
    <mergeCell ref="O2:R2"/>
    <mergeCell ref="R5:R6"/>
    <mergeCell ref="A1:I1"/>
    <mergeCell ref="K1:S1"/>
    <mergeCell ref="A2:A3"/>
    <mergeCell ref="B2:B3"/>
    <mergeCell ref="C2:C3"/>
    <mergeCell ref="D2:D3"/>
    <mergeCell ref="E2:H2"/>
    <mergeCell ref="S2:S3"/>
  </mergeCells>
  <dataValidations>
    <dataValidation type="list" allowBlank="1" showErrorMessage="1" sqref="D4:D33 N4:N33">
      <formula1>"Menna,Akreman,Rasha,Nourhan,Mariam,Adham,"</formula1>
    </dataValidation>
  </dataValidations>
  <drawing r:id="rId1"/>
</worksheet>
</file>